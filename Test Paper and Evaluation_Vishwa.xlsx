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170" activeTab="4"/>
  </bookViews>
  <sheets>
    <sheet name="Employee" sheetId="1" r:id="rId1"/>
    <sheet name="Attendance Configuration" sheetId="2" r:id="rId2"/>
    <sheet name="Leave Configuration" sheetId="3" r:id="rId3"/>
    <sheet name="Payroll Configuration" sheetId="4" r:id="rId4"/>
    <sheet name="Evaluation Sheet" sheetId="5" r:id="rId5"/>
    <sheet name="Sheet2" sheetId="6" state="hidden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<sst xmlns="http://schemas.openxmlformats.org/spreadsheetml/2006/main" count="488" uniqueCount="199">
  <si>
    <t>Important Points</t>
  </si>
  <si>
    <t>Evaluation</t>
  </si>
  <si>
    <t>Create 40 Employee which should be bifurcated between 4 location MUMBAI,DELHI and CHENNAI and Bangalore</t>
  </si>
  <si>
    <t>Make sure that eligibility for PF and ESI to be checked</t>
  </si>
  <si>
    <t>Professional tax to be callculated in CTC based on location</t>
  </si>
  <si>
    <t>Code</t>
  </si>
  <si>
    <t>Name</t>
  </si>
  <si>
    <t>Birth Date</t>
  </si>
  <si>
    <t>Join Date</t>
  </si>
  <si>
    <t>Department</t>
  </si>
  <si>
    <t>Designation</t>
  </si>
  <si>
    <t>Location</t>
  </si>
  <si>
    <t>PF</t>
  </si>
  <si>
    <t>ESI</t>
  </si>
  <si>
    <t>PT State</t>
  </si>
  <si>
    <t>Gross Salary</t>
  </si>
  <si>
    <t>Target</t>
  </si>
  <si>
    <t>Achived</t>
  </si>
  <si>
    <t>Name 1</t>
  </si>
  <si>
    <t>HR</t>
  </si>
  <si>
    <t>MUMBAI</t>
  </si>
  <si>
    <t>Y</t>
  </si>
  <si>
    <t>MAHARASHTRA</t>
  </si>
  <si>
    <t>Name 2</t>
  </si>
  <si>
    <t>SALES</t>
  </si>
  <si>
    <t>Sales Man</t>
  </si>
  <si>
    <t>N</t>
  </si>
  <si>
    <t>Name 3</t>
  </si>
  <si>
    <t>PRODUCTION</t>
  </si>
  <si>
    <t>Worker</t>
  </si>
  <si>
    <t>Name 4</t>
  </si>
  <si>
    <t>Sales head</t>
  </si>
  <si>
    <t>Name 5</t>
  </si>
  <si>
    <t>OPERATIONS</t>
  </si>
  <si>
    <t>General Manager</t>
  </si>
  <si>
    <t>Name 6</t>
  </si>
  <si>
    <t>Support Manager</t>
  </si>
  <si>
    <t>Name 7</t>
  </si>
  <si>
    <t>VP HR</t>
  </si>
  <si>
    <t>Name 8</t>
  </si>
  <si>
    <t>FINANCE</t>
  </si>
  <si>
    <t>Fiannce Head</t>
  </si>
  <si>
    <t>Name 9</t>
  </si>
  <si>
    <t>Head HR</t>
  </si>
  <si>
    <t>Name 10</t>
  </si>
  <si>
    <t>MANAGEMENT</t>
  </si>
  <si>
    <t>Director</t>
  </si>
  <si>
    <t>Name 11</t>
  </si>
  <si>
    <t>DELHI</t>
  </si>
  <si>
    <t>NEW DELHI</t>
  </si>
  <si>
    <t>Name 12</t>
  </si>
  <si>
    <t>Name 13</t>
  </si>
  <si>
    <t>Name 14</t>
  </si>
  <si>
    <t>Name 15</t>
  </si>
  <si>
    <t>Name 16</t>
  </si>
  <si>
    <t>Name 17</t>
  </si>
  <si>
    <t>Name 18</t>
  </si>
  <si>
    <t>Name 19</t>
  </si>
  <si>
    <t>Name 20</t>
  </si>
  <si>
    <t>Name 21</t>
  </si>
  <si>
    <t>CHENNAI</t>
  </si>
  <si>
    <t>TAMILNADU</t>
  </si>
  <si>
    <t>Name 22</t>
  </si>
  <si>
    <t>Name 23</t>
  </si>
  <si>
    <t>Name 24</t>
  </si>
  <si>
    <t>Name 25</t>
  </si>
  <si>
    <t>Name 26</t>
  </si>
  <si>
    <t>Name 27</t>
  </si>
  <si>
    <t>Name 28</t>
  </si>
  <si>
    <t>Name 29</t>
  </si>
  <si>
    <t>Name 30</t>
  </si>
  <si>
    <t>Name 31</t>
  </si>
  <si>
    <t>BANGALORe</t>
  </si>
  <si>
    <t>KARNATAKA</t>
  </si>
  <si>
    <t>Name 32</t>
  </si>
  <si>
    <t>Name 33</t>
  </si>
  <si>
    <t>Name 34</t>
  </si>
  <si>
    <t>Name 35</t>
  </si>
  <si>
    <t>Name 36</t>
  </si>
  <si>
    <t>Name 37</t>
  </si>
  <si>
    <t>Name 38</t>
  </si>
  <si>
    <t>Name 39</t>
  </si>
  <si>
    <t>Name 40</t>
  </si>
  <si>
    <t>Allocation base</t>
  </si>
  <si>
    <t>Mumbai</t>
  </si>
  <si>
    <t>Delhi</t>
  </si>
  <si>
    <t xml:space="preserve">Chennai </t>
  </si>
  <si>
    <t>Bangalore</t>
  </si>
  <si>
    <t>Shift</t>
  </si>
  <si>
    <t>10:00 to 18:00</t>
  </si>
  <si>
    <t>14:00 to 22:00</t>
  </si>
  <si>
    <t>22:00 to 06:00</t>
  </si>
  <si>
    <t>9:00 to 18:00</t>
  </si>
  <si>
    <t>In Grace</t>
  </si>
  <si>
    <t>5 Min</t>
  </si>
  <si>
    <t>10 Min</t>
  </si>
  <si>
    <t>NA</t>
  </si>
  <si>
    <t>Break</t>
  </si>
  <si>
    <t>To be deducted</t>
  </si>
  <si>
    <t>Late policy</t>
  </si>
  <si>
    <t>Allowed 20 min for 2 time after words every late 0.5 to be deducted</t>
  </si>
  <si>
    <t>To be mark half day if employee come late by 2 hours onwards</t>
  </si>
  <si>
    <t>Allowed 30 min for 2 time after words every late 0.5 to be deducted on every 3rd late</t>
  </si>
  <si>
    <t>To be mark absent day if employee come late by 2 hours onwards</t>
  </si>
  <si>
    <t>Early Policy</t>
  </si>
  <si>
    <t>Allowed 5 min for 2 time</t>
  </si>
  <si>
    <t>Allowed 2 time afterwords 0.5 deducted o every early going</t>
  </si>
  <si>
    <t>OT on Non working Day</t>
  </si>
  <si>
    <t>Yes</t>
  </si>
  <si>
    <t>No</t>
  </si>
  <si>
    <t>Min</t>
  </si>
  <si>
    <t>Max</t>
  </si>
  <si>
    <t>OT on WD</t>
  </si>
  <si>
    <t>WD policy</t>
  </si>
  <si>
    <t>Minute base</t>
  </si>
  <si>
    <t>% base</t>
  </si>
  <si>
    <t>Full Day Requiment</t>
  </si>
  <si>
    <t>Above to Half Day limit</t>
  </si>
  <si>
    <t>HD Requirment</t>
  </si>
  <si>
    <t>Between 121 to 359</t>
  </si>
  <si>
    <t>Between 10% to 75%</t>
  </si>
  <si>
    <t>Upto 300 (Late early to be checked)</t>
  </si>
  <si>
    <t>Between 6 to 70%</t>
  </si>
  <si>
    <t>Absent</t>
  </si>
  <si>
    <t>Upto 120</t>
  </si>
  <si>
    <t>Upto 10%</t>
  </si>
  <si>
    <t>Upto 5%</t>
  </si>
  <si>
    <t>Comman Holidays</t>
  </si>
  <si>
    <t>Week off Assignment</t>
  </si>
  <si>
    <t>Saturday and Sunday</t>
  </si>
  <si>
    <t>Wednesday every 2 and 4th</t>
  </si>
  <si>
    <t>Sunday</t>
  </si>
  <si>
    <t>Calandar not assigned category wise</t>
  </si>
  <si>
    <t>Important Notes :   Policy and shift to be assigned employee category wise</t>
  </si>
  <si>
    <t>Allocation</t>
  </si>
  <si>
    <t>Details</t>
  </si>
  <si>
    <t>Mumbai location</t>
  </si>
  <si>
    <t>CL</t>
  </si>
  <si>
    <t>Accrual</t>
  </si>
  <si>
    <t>Monthly 1</t>
  </si>
  <si>
    <t>Applicable</t>
  </si>
  <si>
    <t>Joining</t>
  </si>
  <si>
    <t>Confirmation</t>
  </si>
  <si>
    <t>Confirmation but accrual from joining</t>
  </si>
  <si>
    <t>Sandwich Applicable</t>
  </si>
  <si>
    <t>Min days for aplication</t>
  </si>
  <si>
    <t>Max Day for application</t>
  </si>
  <si>
    <t>No of application Monthly</t>
  </si>
  <si>
    <t>Max Days in Month</t>
  </si>
  <si>
    <t>Encashment/Lapse/CF</t>
  </si>
  <si>
    <t>Max Encash 10 remaining lapse</t>
  </si>
  <si>
    <t>Max CF 10 remaining lapse</t>
  </si>
  <si>
    <t>Encash 4,CF 3 remaining lapse</t>
  </si>
  <si>
    <t>No Encashment,No lapse</t>
  </si>
  <si>
    <t>Club with same day</t>
  </si>
  <si>
    <t>Club with another day</t>
  </si>
  <si>
    <t>Attachment Requirment</t>
  </si>
  <si>
    <t>More than 1 Day</t>
  </si>
  <si>
    <t>More than 3 Day</t>
  </si>
  <si>
    <t>Note:</t>
  </si>
  <si>
    <t>Leave policy to be allocated based on location to employee</t>
  </si>
  <si>
    <t>CTC salary  calculation process</t>
  </si>
  <si>
    <t>STEP 1</t>
  </si>
  <si>
    <t>Calculate the CTC for all employee from gross as mentioned in employee sheet with gratuity @ 4.81% and bonus @8.33%</t>
  </si>
  <si>
    <t>STEP 2</t>
  </si>
  <si>
    <t>BASIC will be 40% of GROSS,HRA will be 25% of BASIC,MEDICAL Allowance will be 1000 fix for all employee and remaining amount will be calculated in other allowance</t>
  </si>
  <si>
    <t>STEP 3</t>
  </si>
  <si>
    <t>Process 2 month payroll one with full attendance (Week off and Holiday) and another one with LOP for 5 days for Apr and May respectively</t>
  </si>
  <si>
    <t>STEP 4</t>
  </si>
  <si>
    <t>Professional Tax to be calculated based on location available in employee category</t>
  </si>
  <si>
    <t>Payroll Evaluation</t>
  </si>
  <si>
    <t>COMPONENT</t>
  </si>
  <si>
    <t>WITH LOP</t>
  </si>
  <si>
    <t>WITHOUT LOP</t>
  </si>
  <si>
    <t>TARGET</t>
  </si>
  <si>
    <t>ACHIVEMENT</t>
  </si>
  <si>
    <t>BASIC</t>
  </si>
  <si>
    <t>HRA</t>
  </si>
  <si>
    <t>Wrong calculation</t>
  </si>
  <si>
    <t>MEDICAL</t>
  </si>
  <si>
    <t>SPECIAL</t>
  </si>
  <si>
    <t>PT</t>
  </si>
  <si>
    <t>Bonus Calculation and Provision</t>
  </si>
  <si>
    <t>Gratuity Calculation and Provision</t>
  </si>
  <si>
    <t>CTC</t>
  </si>
  <si>
    <t>Employer Contrubution for ESI not included,Bonus is incorrect</t>
  </si>
  <si>
    <t>TOTAL TARGET</t>
  </si>
  <si>
    <t>TOTAL ACHIVEMENT</t>
  </si>
  <si>
    <t>Improtant Note</t>
  </si>
  <si>
    <t>CTC needs to be calculated automatically based on gross upon configuration through payroll wizard hence direct upload through salary master for all component will not be counted</t>
  </si>
  <si>
    <t>Module</t>
  </si>
  <si>
    <t>%</t>
  </si>
  <si>
    <t>Employee</t>
  </si>
  <si>
    <t>Attendance</t>
  </si>
  <si>
    <t>Leave</t>
  </si>
  <si>
    <t>Payoll</t>
  </si>
  <si>
    <t>Cleared</t>
  </si>
  <si>
    <t>Not Cleared</t>
  </si>
  <si>
    <t>Partly Cleared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</si>
</sst>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8" applyNumberFormat="0" applyFill="0" applyAlignment="0" applyProtection="0">
      <alignment vertical="center"/>
    </xf>
    <xf numFmtId="0" fontId="11" fillId="0" borderId="28" applyNumberFormat="0" applyFill="0" applyAlignment="0" applyProtection="0">
      <alignment vertical="center"/>
    </xf>
    <xf numFmtId="0" fontId="12" fillId="0" borderId="2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30" applyNumberFormat="0" applyAlignment="0" applyProtection="0">
      <alignment vertical="center"/>
    </xf>
    <xf numFmtId="0" fontId="14" fillId="10" borderId="31" applyNumberFormat="0" applyAlignment="0" applyProtection="0">
      <alignment vertical="center"/>
    </xf>
    <xf numFmtId="0" fontId="15" fillId="10" borderId="30" applyNumberFormat="0" applyAlignment="0" applyProtection="0">
      <alignment vertical="center"/>
    </xf>
    <xf numFmtId="0" fontId="16" fillId="11" borderId="32" applyNumberFormat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90">
    <xf numFmtId="0" fontId="0" fillId="0" borderId="0" xfId="0"/>
    <xf numFmtId="0" fontId="0" fillId="0" borderId="0" xfId="0" applyAlignment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1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2" fillId="0" borderId="0" xfId="0" applyFont="1" applyAlignment="1">
      <alignment wrapText="1"/>
    </xf>
    <xf numFmtId="0" fontId="0" fillId="3" borderId="17" xfId="0" applyFill="1" applyBorder="1" applyAlignment="1">
      <alignment horizontal="center" wrapText="1"/>
    </xf>
    <xf numFmtId="0" fontId="0" fillId="3" borderId="18" xfId="0" applyFill="1" applyBorder="1" applyAlignment="1">
      <alignment horizontal="center" wrapText="1"/>
    </xf>
    <xf numFmtId="0" fontId="0" fillId="3" borderId="19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20" xfId="0" applyFill="1" applyBorder="1" applyAlignment="1">
      <alignment horizontal="center" wrapText="1"/>
    </xf>
    <xf numFmtId="0" fontId="0" fillId="3" borderId="21" xfId="0" applyFill="1" applyBorder="1" applyAlignment="1">
      <alignment wrapText="1"/>
    </xf>
    <xf numFmtId="0" fontId="0" fillId="3" borderId="22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23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24" xfId="0" applyFill="1" applyBorder="1" applyAlignment="1">
      <alignment wrapText="1"/>
    </xf>
    <xf numFmtId="0" fontId="0" fillId="3" borderId="14" xfId="0" applyFill="1" applyBorder="1" applyAlignment="1">
      <alignment wrapText="1"/>
    </xf>
    <xf numFmtId="0" fontId="0" fillId="3" borderId="15" xfId="0" applyFill="1" applyBorder="1" applyAlignment="1">
      <alignment wrapText="1"/>
    </xf>
    <xf numFmtId="0" fontId="0" fillId="3" borderId="25" xfId="0" applyFill="1" applyBorder="1" applyAlignment="1">
      <alignment wrapText="1"/>
    </xf>
    <xf numFmtId="0" fontId="0" fillId="3" borderId="16" xfId="0" applyFill="1" applyBorder="1" applyAlignment="1">
      <alignment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2" fillId="4" borderId="0" xfId="0" applyFont="1" applyFill="1"/>
    <xf numFmtId="0" fontId="3" fillId="2" borderId="11" xfId="0" applyFont="1" applyFill="1" applyBorder="1"/>
    <xf numFmtId="0" fontId="3" fillId="2" borderId="23" xfId="0" applyFont="1" applyFill="1" applyBorder="1"/>
    <xf numFmtId="0" fontId="3" fillId="2" borderId="23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0" fillId="0" borderId="13" xfId="0" applyBorder="1"/>
    <xf numFmtId="0" fontId="0" fillId="0" borderId="24" xfId="0" applyBorder="1"/>
    <xf numFmtId="0" fontId="0" fillId="5" borderId="24" xfId="0" applyFill="1" applyBorder="1" applyAlignment="1">
      <alignment horizontal="center" wrapText="1"/>
    </xf>
    <xf numFmtId="0" fontId="0" fillId="6" borderId="14" xfId="0" applyFill="1" applyBorder="1" applyAlignment="1">
      <alignment horizontal="center" wrapText="1"/>
    </xf>
    <xf numFmtId="0" fontId="0" fillId="5" borderId="14" xfId="0" applyFill="1" applyBorder="1" applyAlignment="1">
      <alignment horizontal="center" wrapText="1"/>
    </xf>
    <xf numFmtId="0" fontId="0" fillId="6" borderId="24" xfId="0" applyFill="1" applyBorder="1" applyAlignment="1">
      <alignment horizontal="center" wrapText="1"/>
    </xf>
    <xf numFmtId="0" fontId="0" fillId="0" borderId="15" xfId="0" applyBorder="1"/>
    <xf numFmtId="0" fontId="0" fillId="0" borderId="25" xfId="0" applyBorder="1"/>
    <xf numFmtId="0" fontId="0" fillId="5" borderId="25" xfId="0" applyFill="1" applyBorder="1" applyAlignment="1">
      <alignment horizontal="center" wrapText="1"/>
    </xf>
    <xf numFmtId="0" fontId="0" fillId="5" borderId="16" xfId="0" applyFill="1" applyBorder="1" applyAlignment="1">
      <alignment horizontal="center" wrapText="1"/>
    </xf>
    <xf numFmtId="0" fontId="2" fillId="4" borderId="0" xfId="0" applyFont="1" applyFill="1" applyAlignment="1">
      <alignment horizontal="center"/>
    </xf>
    <xf numFmtId="0" fontId="2" fillId="3" borderId="0" xfId="0" applyNumberFormat="1" applyFont="1" applyFill="1"/>
    <xf numFmtId="0" fontId="2" fillId="0" borderId="0" xfId="0" applyFont="1"/>
    <xf numFmtId="0" fontId="0" fillId="3" borderId="0" xfId="0" applyFill="1"/>
    <xf numFmtId="0" fontId="1" fillId="2" borderId="11" xfId="0" applyFont="1" applyFill="1" applyBorder="1" applyAlignment="1">
      <alignment wrapText="1"/>
    </xf>
    <xf numFmtId="0" fontId="1" fillId="2" borderId="23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0" fillId="5" borderId="24" xfId="0" applyFill="1" applyBorder="1" applyAlignment="1">
      <alignment wrapText="1"/>
    </xf>
    <xf numFmtId="0" fontId="0" fillId="5" borderId="14" xfId="0" applyFill="1" applyBorder="1" applyAlignment="1">
      <alignment wrapText="1"/>
    </xf>
    <xf numFmtId="0" fontId="0" fillId="7" borderId="24" xfId="0" applyFill="1" applyBorder="1" applyAlignment="1">
      <alignment wrapText="1"/>
    </xf>
    <xf numFmtId="0" fontId="0" fillId="6" borderId="24" xfId="0" applyFill="1" applyBorder="1" applyAlignment="1">
      <alignment wrapText="1"/>
    </xf>
    <xf numFmtId="0" fontId="0" fillId="6" borderId="14" xfId="0" applyFill="1" applyBorder="1" applyAlignment="1">
      <alignment wrapText="1"/>
    </xf>
    <xf numFmtId="0" fontId="0" fillId="7" borderId="14" xfId="0" applyFill="1" applyBorder="1" applyAlignment="1">
      <alignment wrapText="1"/>
    </xf>
    <xf numFmtId="9" fontId="0" fillId="5" borderId="24" xfId="0" applyNumberFormat="1" applyFill="1" applyBorder="1" applyAlignment="1">
      <alignment wrapText="1"/>
    </xf>
    <xf numFmtId="9" fontId="0" fillId="6" borderId="14" xfId="0" applyNumberFormat="1" applyFill="1" applyBorder="1" applyAlignment="1">
      <alignment wrapText="1"/>
    </xf>
    <xf numFmtId="15" fontId="0" fillId="5" borderId="24" xfId="0" applyNumberFormat="1" applyFill="1" applyBorder="1"/>
    <xf numFmtId="15" fontId="0" fillId="5" borderId="14" xfId="0" applyNumberFormat="1" applyFill="1" applyBorder="1"/>
    <xf numFmtId="15" fontId="2" fillId="5" borderId="24" xfId="0" applyNumberFormat="1" applyFont="1" applyFill="1" applyBorder="1"/>
    <xf numFmtId="15" fontId="2" fillId="5" borderId="14" xfId="0" applyNumberFormat="1" applyFont="1" applyFill="1" applyBorder="1"/>
    <xf numFmtId="15" fontId="0" fillId="5" borderId="25" xfId="0" applyNumberFormat="1" applyFill="1" applyBorder="1"/>
    <xf numFmtId="0" fontId="0" fillId="5" borderId="25" xfId="0" applyFill="1" applyBorder="1"/>
    <xf numFmtId="15" fontId="0" fillId="5" borderId="16" xfId="0" applyNumberFormat="1" applyFill="1" applyBorder="1"/>
    <xf numFmtId="0" fontId="1" fillId="2" borderId="9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left"/>
    </xf>
    <xf numFmtId="15" fontId="0" fillId="0" borderId="0" xfId="0" applyNumberFormat="1"/>
    <xf numFmtId="0" fontId="1" fillId="2" borderId="10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4" fontId="4" fillId="0" borderId="0" xfId="0" applyNumberFormat="1" applyFont="1" applyAlignment="1"/>
    <xf numFmtId="0" fontId="2" fillId="3" borderId="0" xfId="0" applyFont="1" applyFill="1"/>
    <xf numFmtId="4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raining%20Test%20Evaluatio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ints"/>
      <sheetName val="Employee"/>
      <sheetName val="Attendance Configuration"/>
      <sheetName val="Leave Configuration"/>
      <sheetName val="Payroll Configuration"/>
      <sheetName val="Evaluation Sheet"/>
      <sheetName val="Sheet2"/>
    </sheetNames>
    <sheetDataSet>
      <sheetData sheetId="0"/>
      <sheetData sheetId="1"/>
      <sheetData sheetId="2"/>
      <sheetData sheetId="3">
        <row r="1">
          <cell r="G1">
            <v>48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topLeftCell="A27" workbookViewId="0">
      <selection activeCell="K7" sqref="K7:K46"/>
    </sheetView>
  </sheetViews>
  <sheetFormatPr defaultColWidth="9" defaultRowHeight="15"/>
  <cols>
    <col min="1" max="1" width="6.14285714285714" customWidth="1"/>
    <col min="2" max="2" width="14.2857142857143" customWidth="1"/>
    <col min="3" max="3" width="10.8571428571429" customWidth="1"/>
    <col min="4" max="4" width="10" customWidth="1"/>
    <col min="5" max="5" width="15.2857142857143" customWidth="1"/>
    <col min="6" max="6" width="17.5714285714286" customWidth="1"/>
    <col min="7" max="7" width="12.8571428571429" customWidth="1"/>
    <col min="8" max="8" width="3.71428571428571" customWidth="1"/>
    <col min="9" max="9" width="4.14285714285714" customWidth="1"/>
    <col min="10" max="10" width="16" customWidth="1"/>
    <col min="11" max="11" width="12.4285714285714" customWidth="1"/>
    <col min="13" max="14" width="9" style="41"/>
  </cols>
  <sheetData>
    <row r="1" ht="15.75" spans="1:14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84"/>
      <c r="M1" s="56" t="s">
        <v>1</v>
      </c>
      <c r="N1" s="56"/>
    </row>
    <row r="2" spans="1:14">
      <c r="A2" s="5">
        <v>1</v>
      </c>
      <c r="B2" s="80" t="s">
        <v>2</v>
      </c>
      <c r="C2" s="80"/>
      <c r="D2" s="80"/>
      <c r="E2" s="80"/>
      <c r="F2" s="80"/>
      <c r="G2" s="80"/>
      <c r="H2" s="80"/>
      <c r="I2" s="80"/>
      <c r="J2" s="80"/>
      <c r="K2" s="85"/>
      <c r="M2" s="56"/>
      <c r="N2" s="56"/>
    </row>
    <row r="3" spans="1:14">
      <c r="A3" s="5">
        <v>2</v>
      </c>
      <c r="B3" s="80" t="s">
        <v>3</v>
      </c>
      <c r="C3" s="80"/>
      <c r="D3" s="80"/>
      <c r="E3" s="80"/>
      <c r="F3" s="80"/>
      <c r="G3" s="80"/>
      <c r="H3" s="80"/>
      <c r="I3" s="80"/>
      <c r="J3" s="80"/>
      <c r="K3" s="85"/>
      <c r="M3" s="56"/>
      <c r="N3" s="56"/>
    </row>
    <row r="4" ht="15.75" spans="1:14">
      <c r="A4" s="81">
        <v>3</v>
      </c>
      <c r="B4" s="82" t="s">
        <v>4</v>
      </c>
      <c r="C4" s="82"/>
      <c r="D4" s="82"/>
      <c r="E4" s="82"/>
      <c r="F4" s="82"/>
      <c r="G4" s="82"/>
      <c r="H4" s="82"/>
      <c r="I4" s="82"/>
      <c r="J4" s="82"/>
      <c r="K4" s="86"/>
      <c r="M4" s="56"/>
      <c r="N4" s="56"/>
    </row>
    <row r="6" spans="1:14">
      <c r="A6" s="58" t="s">
        <v>5</v>
      </c>
      <c r="B6" s="58" t="s">
        <v>6</v>
      </c>
      <c r="C6" s="58" t="s">
        <v>7</v>
      </c>
      <c r="D6" s="58" t="s">
        <v>8</v>
      </c>
      <c r="E6" s="58" t="s">
        <v>9</v>
      </c>
      <c r="F6" s="58" t="s">
        <v>10</v>
      </c>
      <c r="G6" s="58" t="s">
        <v>11</v>
      </c>
      <c r="H6" s="58" t="s">
        <v>12</v>
      </c>
      <c r="I6" s="58" t="s">
        <v>13</v>
      </c>
      <c r="J6" s="58" t="s">
        <v>14</v>
      </c>
      <c r="K6" s="58" t="s">
        <v>15</v>
      </c>
      <c r="M6" s="41" t="s">
        <v>16</v>
      </c>
      <c r="N6" s="41" t="s">
        <v>17</v>
      </c>
    </row>
    <row r="7" spans="1:18">
      <c r="A7">
        <v>1</v>
      </c>
      <c r="B7" t="s">
        <v>18</v>
      </c>
      <c r="C7" s="83">
        <v>33329</v>
      </c>
      <c r="D7" s="83">
        <v>45078</v>
      </c>
      <c r="E7" t="s">
        <v>19</v>
      </c>
      <c r="F7" t="s">
        <v>19</v>
      </c>
      <c r="G7" t="s">
        <v>20</v>
      </c>
      <c r="H7" t="s">
        <v>21</v>
      </c>
      <c r="I7" t="s">
        <v>21</v>
      </c>
      <c r="J7" t="s">
        <v>22</v>
      </c>
      <c r="K7">
        <v>8000</v>
      </c>
      <c r="M7" s="41">
        <f>COUNTA(A7:K7)</f>
        <v>11</v>
      </c>
      <c r="N7" s="41">
        <v>11</v>
      </c>
      <c r="P7" s="87"/>
      <c r="R7" s="89"/>
    </row>
    <row r="8" spans="1:18">
      <c r="A8">
        <v>2</v>
      </c>
      <c r="B8" t="s">
        <v>23</v>
      </c>
      <c r="C8" s="83">
        <v>33330</v>
      </c>
      <c r="D8" s="83">
        <v>45079</v>
      </c>
      <c r="E8" t="s">
        <v>24</v>
      </c>
      <c r="F8" t="s">
        <v>25</v>
      </c>
      <c r="G8" t="s">
        <v>20</v>
      </c>
      <c r="H8" t="s">
        <v>26</v>
      </c>
      <c r="I8" t="s">
        <v>21</v>
      </c>
      <c r="J8" t="s">
        <v>22</v>
      </c>
      <c r="K8">
        <v>10000</v>
      </c>
      <c r="M8" s="41">
        <f>COUNTA(A8:K8)</f>
        <v>11</v>
      </c>
      <c r="N8" s="41">
        <v>11</v>
      </c>
      <c r="P8" s="87"/>
      <c r="R8" s="89"/>
    </row>
    <row r="9" spans="1:18">
      <c r="A9">
        <v>3</v>
      </c>
      <c r="B9" t="s">
        <v>27</v>
      </c>
      <c r="C9" s="83">
        <v>33331</v>
      </c>
      <c r="D9" s="83">
        <v>45080</v>
      </c>
      <c r="E9" t="s">
        <v>28</v>
      </c>
      <c r="F9" t="s">
        <v>29</v>
      </c>
      <c r="G9" t="s">
        <v>20</v>
      </c>
      <c r="H9" t="s">
        <v>21</v>
      </c>
      <c r="I9" t="s">
        <v>21</v>
      </c>
      <c r="J9" t="s">
        <v>22</v>
      </c>
      <c r="K9">
        <v>12000</v>
      </c>
      <c r="M9" s="41">
        <f>COUNTA(A9:K9)</f>
        <v>11</v>
      </c>
      <c r="N9" s="41">
        <v>11</v>
      </c>
      <c r="P9" s="87"/>
      <c r="R9" s="89"/>
    </row>
    <row r="10" spans="1:18">
      <c r="A10">
        <v>4</v>
      </c>
      <c r="B10" t="s">
        <v>30</v>
      </c>
      <c r="C10" s="83">
        <v>33332</v>
      </c>
      <c r="D10" s="83">
        <v>45081</v>
      </c>
      <c r="E10" t="s">
        <v>24</v>
      </c>
      <c r="F10" t="s">
        <v>31</v>
      </c>
      <c r="G10" t="s">
        <v>20</v>
      </c>
      <c r="H10" t="s">
        <v>26</v>
      </c>
      <c r="I10" t="s">
        <v>21</v>
      </c>
      <c r="J10" t="s">
        <v>22</v>
      </c>
      <c r="K10">
        <v>15000</v>
      </c>
      <c r="M10" s="41">
        <f>COUNTA(A10:K10)</f>
        <v>11</v>
      </c>
      <c r="N10" s="41">
        <v>11</v>
      </c>
      <c r="P10" s="87"/>
      <c r="R10" s="89"/>
    </row>
    <row r="11" spans="1:18">
      <c r="A11">
        <v>5</v>
      </c>
      <c r="B11" t="s">
        <v>32</v>
      </c>
      <c r="C11" s="83">
        <v>33333</v>
      </c>
      <c r="D11" s="83">
        <v>45082</v>
      </c>
      <c r="E11" t="s">
        <v>33</v>
      </c>
      <c r="F11" t="s">
        <v>34</v>
      </c>
      <c r="G11" t="s">
        <v>20</v>
      </c>
      <c r="H11" t="s">
        <v>21</v>
      </c>
      <c r="I11" t="s">
        <v>21</v>
      </c>
      <c r="J11" t="s">
        <v>22</v>
      </c>
      <c r="K11">
        <v>20000</v>
      </c>
      <c r="M11" s="41">
        <f>COUNTA(A11:K11)</f>
        <v>11</v>
      </c>
      <c r="N11" s="41">
        <v>11</v>
      </c>
      <c r="P11" s="87"/>
      <c r="R11" s="89"/>
    </row>
    <row r="12" spans="1:18">
      <c r="A12">
        <v>6</v>
      </c>
      <c r="B12" t="s">
        <v>35</v>
      </c>
      <c r="C12" s="83">
        <v>33334</v>
      </c>
      <c r="D12" s="83">
        <v>45083</v>
      </c>
      <c r="E12" t="s">
        <v>33</v>
      </c>
      <c r="F12" t="s">
        <v>36</v>
      </c>
      <c r="G12" t="s">
        <v>20</v>
      </c>
      <c r="H12" t="s">
        <v>26</v>
      </c>
      <c r="I12" t="s">
        <v>21</v>
      </c>
      <c r="J12" t="s">
        <v>22</v>
      </c>
      <c r="K12">
        <f>K11+1000</f>
        <v>21000</v>
      </c>
      <c r="M12" s="41">
        <f t="shared" ref="M8:M46" si="0">COUNTA(A12:K12)</f>
        <v>11</v>
      </c>
      <c r="N12" s="41">
        <v>11</v>
      </c>
      <c r="P12" s="87"/>
      <c r="R12" s="89"/>
    </row>
    <row r="13" spans="1:18">
      <c r="A13">
        <v>7</v>
      </c>
      <c r="B13" t="s">
        <v>37</v>
      </c>
      <c r="C13" s="83">
        <v>33335</v>
      </c>
      <c r="D13" s="83">
        <v>45084</v>
      </c>
      <c r="E13" t="s">
        <v>19</v>
      </c>
      <c r="F13" t="s">
        <v>38</v>
      </c>
      <c r="G13" t="s">
        <v>20</v>
      </c>
      <c r="H13" t="s">
        <v>21</v>
      </c>
      <c r="I13" t="s">
        <v>26</v>
      </c>
      <c r="J13" t="s">
        <v>22</v>
      </c>
      <c r="K13">
        <v>35000</v>
      </c>
      <c r="M13" s="41">
        <f t="shared" si="0"/>
        <v>11</v>
      </c>
      <c r="N13" s="41">
        <v>11</v>
      </c>
      <c r="P13" s="87"/>
      <c r="R13" s="89"/>
    </row>
    <row r="14" spans="1:18">
      <c r="A14">
        <v>8</v>
      </c>
      <c r="B14" t="s">
        <v>39</v>
      </c>
      <c r="C14" s="83">
        <v>33336</v>
      </c>
      <c r="D14" s="83">
        <v>45085</v>
      </c>
      <c r="E14" t="s">
        <v>40</v>
      </c>
      <c r="F14" t="s">
        <v>41</v>
      </c>
      <c r="G14" t="s">
        <v>20</v>
      </c>
      <c r="H14" t="s">
        <v>26</v>
      </c>
      <c r="I14" t="s">
        <v>26</v>
      </c>
      <c r="J14" t="s">
        <v>22</v>
      </c>
      <c r="K14">
        <v>8000</v>
      </c>
      <c r="M14" s="41">
        <f t="shared" si="0"/>
        <v>11</v>
      </c>
      <c r="N14" s="41">
        <v>11</v>
      </c>
      <c r="P14" s="87"/>
      <c r="R14" s="89"/>
    </row>
    <row r="15" spans="1:18">
      <c r="A15">
        <v>9</v>
      </c>
      <c r="B15" t="s">
        <v>42</v>
      </c>
      <c r="C15" s="83">
        <v>33337</v>
      </c>
      <c r="D15" s="83">
        <v>45086</v>
      </c>
      <c r="E15" t="s">
        <v>19</v>
      </c>
      <c r="F15" t="s">
        <v>43</v>
      </c>
      <c r="G15" t="s">
        <v>20</v>
      </c>
      <c r="H15" t="s">
        <v>21</v>
      </c>
      <c r="I15" t="s">
        <v>26</v>
      </c>
      <c r="J15" t="s">
        <v>22</v>
      </c>
      <c r="K15">
        <v>16500</v>
      </c>
      <c r="M15" s="41">
        <f t="shared" si="0"/>
        <v>11</v>
      </c>
      <c r="N15" s="41">
        <v>11</v>
      </c>
      <c r="P15" s="87"/>
      <c r="R15" s="89"/>
    </row>
    <row r="16" spans="1:18">
      <c r="A16">
        <v>10</v>
      </c>
      <c r="B16" t="s">
        <v>44</v>
      </c>
      <c r="C16" s="83">
        <v>33338</v>
      </c>
      <c r="D16" s="83">
        <v>45087</v>
      </c>
      <c r="E16" t="s">
        <v>45</v>
      </c>
      <c r="F16" t="s">
        <v>46</v>
      </c>
      <c r="G16" t="s">
        <v>20</v>
      </c>
      <c r="H16" t="s">
        <v>26</v>
      </c>
      <c r="I16" t="s">
        <v>26</v>
      </c>
      <c r="J16" t="s">
        <v>22</v>
      </c>
      <c r="K16">
        <v>40000</v>
      </c>
      <c r="M16" s="41">
        <f t="shared" si="0"/>
        <v>11</v>
      </c>
      <c r="N16" s="41">
        <v>11</v>
      </c>
      <c r="P16" s="87"/>
      <c r="R16" s="89"/>
    </row>
    <row r="17" spans="1:18">
      <c r="A17">
        <v>11</v>
      </c>
      <c r="B17" t="s">
        <v>47</v>
      </c>
      <c r="C17" s="83">
        <v>33339</v>
      </c>
      <c r="D17" s="83">
        <v>45088</v>
      </c>
      <c r="E17" t="s">
        <v>19</v>
      </c>
      <c r="F17" t="s">
        <v>19</v>
      </c>
      <c r="G17" t="s">
        <v>48</v>
      </c>
      <c r="H17" t="s">
        <v>21</v>
      </c>
      <c r="I17" t="s">
        <v>21</v>
      </c>
      <c r="J17" t="s">
        <v>49</v>
      </c>
      <c r="K17">
        <v>8000</v>
      </c>
      <c r="M17" s="41">
        <f t="shared" si="0"/>
        <v>11</v>
      </c>
      <c r="N17" s="41">
        <v>11</v>
      </c>
      <c r="P17" s="87"/>
      <c r="R17" s="89"/>
    </row>
    <row r="18" spans="1:18">
      <c r="A18">
        <v>12</v>
      </c>
      <c r="B18" t="s">
        <v>50</v>
      </c>
      <c r="C18" s="83">
        <v>33340</v>
      </c>
      <c r="D18" s="83">
        <v>45089</v>
      </c>
      <c r="E18" t="s">
        <v>24</v>
      </c>
      <c r="F18" t="s">
        <v>25</v>
      </c>
      <c r="G18" t="s">
        <v>48</v>
      </c>
      <c r="H18" t="s">
        <v>26</v>
      </c>
      <c r="I18" t="s">
        <v>21</v>
      </c>
      <c r="J18" t="s">
        <v>49</v>
      </c>
      <c r="K18">
        <v>10000</v>
      </c>
      <c r="M18" s="41">
        <f t="shared" si="0"/>
        <v>11</v>
      </c>
      <c r="N18" s="41">
        <v>11</v>
      </c>
      <c r="P18" s="87"/>
      <c r="R18" s="89"/>
    </row>
    <row r="19" spans="1:18">
      <c r="A19">
        <v>13</v>
      </c>
      <c r="B19" t="s">
        <v>51</v>
      </c>
      <c r="C19" s="83">
        <v>33341</v>
      </c>
      <c r="D19" s="83">
        <v>45090</v>
      </c>
      <c r="E19" t="s">
        <v>28</v>
      </c>
      <c r="F19" t="s">
        <v>29</v>
      </c>
      <c r="G19" t="s">
        <v>48</v>
      </c>
      <c r="H19" t="s">
        <v>21</v>
      </c>
      <c r="I19" t="s">
        <v>21</v>
      </c>
      <c r="J19" t="s">
        <v>49</v>
      </c>
      <c r="K19">
        <v>12000</v>
      </c>
      <c r="M19" s="41">
        <f t="shared" si="0"/>
        <v>11</v>
      </c>
      <c r="N19" s="41">
        <v>11</v>
      </c>
      <c r="P19" s="87"/>
      <c r="R19" s="89"/>
    </row>
    <row r="20" spans="1:18">
      <c r="A20">
        <v>14</v>
      </c>
      <c r="B20" t="s">
        <v>52</v>
      </c>
      <c r="C20" s="83">
        <v>33342</v>
      </c>
      <c r="D20" s="83">
        <v>45091</v>
      </c>
      <c r="E20" t="s">
        <v>24</v>
      </c>
      <c r="F20" t="s">
        <v>31</v>
      </c>
      <c r="G20" t="s">
        <v>48</v>
      </c>
      <c r="H20" t="s">
        <v>26</v>
      </c>
      <c r="I20" t="s">
        <v>21</v>
      </c>
      <c r="J20" t="s">
        <v>49</v>
      </c>
      <c r="K20">
        <v>15000</v>
      </c>
      <c r="M20" s="41">
        <f t="shared" si="0"/>
        <v>11</v>
      </c>
      <c r="N20" s="41">
        <v>11</v>
      </c>
      <c r="P20" s="87"/>
      <c r="R20" s="89"/>
    </row>
    <row r="21" spans="1:18">
      <c r="A21">
        <v>15</v>
      </c>
      <c r="B21" t="s">
        <v>53</v>
      </c>
      <c r="C21" s="83">
        <v>33343</v>
      </c>
      <c r="D21" s="83">
        <v>45092</v>
      </c>
      <c r="E21" t="s">
        <v>33</v>
      </c>
      <c r="F21" t="s">
        <v>34</v>
      </c>
      <c r="G21" t="s">
        <v>48</v>
      </c>
      <c r="H21" t="s">
        <v>21</v>
      </c>
      <c r="I21" t="s">
        <v>21</v>
      </c>
      <c r="J21" t="s">
        <v>49</v>
      </c>
      <c r="K21">
        <v>20000</v>
      </c>
      <c r="M21" s="41">
        <f t="shared" si="0"/>
        <v>11</v>
      </c>
      <c r="N21" s="41">
        <v>11</v>
      </c>
      <c r="P21" s="87"/>
      <c r="R21" s="89"/>
    </row>
    <row r="22" spans="1:18">
      <c r="A22">
        <v>16</v>
      </c>
      <c r="B22" t="s">
        <v>54</v>
      </c>
      <c r="C22" s="83">
        <v>33344</v>
      </c>
      <c r="D22" s="83">
        <v>45093</v>
      </c>
      <c r="E22" t="s">
        <v>33</v>
      </c>
      <c r="F22" t="s">
        <v>36</v>
      </c>
      <c r="G22" t="s">
        <v>48</v>
      </c>
      <c r="H22" t="s">
        <v>26</v>
      </c>
      <c r="I22" t="s">
        <v>21</v>
      </c>
      <c r="J22" t="s">
        <v>49</v>
      </c>
      <c r="K22">
        <f>K21+1000</f>
        <v>21000</v>
      </c>
      <c r="M22" s="41">
        <f t="shared" si="0"/>
        <v>11</v>
      </c>
      <c r="N22" s="41">
        <v>11</v>
      </c>
      <c r="P22" s="87"/>
      <c r="R22" s="89"/>
    </row>
    <row r="23" spans="1:18">
      <c r="A23">
        <v>17</v>
      </c>
      <c r="B23" t="s">
        <v>55</v>
      </c>
      <c r="C23" s="83">
        <v>33345</v>
      </c>
      <c r="D23" s="83">
        <v>45094</v>
      </c>
      <c r="E23" t="s">
        <v>19</v>
      </c>
      <c r="F23" t="s">
        <v>38</v>
      </c>
      <c r="G23" t="s">
        <v>48</v>
      </c>
      <c r="H23" t="s">
        <v>21</v>
      </c>
      <c r="I23" t="s">
        <v>26</v>
      </c>
      <c r="J23" t="s">
        <v>49</v>
      </c>
      <c r="K23">
        <v>35000</v>
      </c>
      <c r="M23" s="41">
        <f t="shared" si="0"/>
        <v>11</v>
      </c>
      <c r="N23" s="41">
        <v>11</v>
      </c>
      <c r="P23" s="87"/>
      <c r="R23" s="89"/>
    </row>
    <row r="24" spans="1:18">
      <c r="A24">
        <v>18</v>
      </c>
      <c r="B24" t="s">
        <v>56</v>
      </c>
      <c r="C24" s="83">
        <v>33346</v>
      </c>
      <c r="D24" s="83">
        <v>45095</v>
      </c>
      <c r="E24" t="s">
        <v>40</v>
      </c>
      <c r="F24" t="s">
        <v>41</v>
      </c>
      <c r="G24" t="s">
        <v>48</v>
      </c>
      <c r="H24" t="s">
        <v>26</v>
      </c>
      <c r="I24" t="s">
        <v>26</v>
      </c>
      <c r="J24" t="s">
        <v>49</v>
      </c>
      <c r="K24">
        <v>8000</v>
      </c>
      <c r="M24" s="41">
        <f t="shared" si="0"/>
        <v>11</v>
      </c>
      <c r="N24" s="41">
        <v>11</v>
      </c>
      <c r="P24" s="87"/>
      <c r="R24" s="89"/>
    </row>
    <row r="25" spans="1:18">
      <c r="A25">
        <v>19</v>
      </c>
      <c r="B25" t="s">
        <v>57</v>
      </c>
      <c r="C25" s="83">
        <v>33347</v>
      </c>
      <c r="D25" s="83">
        <v>45096</v>
      </c>
      <c r="E25" t="s">
        <v>19</v>
      </c>
      <c r="F25" t="s">
        <v>43</v>
      </c>
      <c r="G25" t="s">
        <v>48</v>
      </c>
      <c r="H25" t="s">
        <v>21</v>
      </c>
      <c r="I25" t="s">
        <v>26</v>
      </c>
      <c r="J25" t="s">
        <v>49</v>
      </c>
      <c r="K25">
        <v>16500</v>
      </c>
      <c r="M25" s="41">
        <f t="shared" si="0"/>
        <v>11</v>
      </c>
      <c r="N25" s="41">
        <v>11</v>
      </c>
      <c r="P25" s="87"/>
      <c r="R25" s="89"/>
    </row>
    <row r="26" spans="1:18">
      <c r="A26">
        <v>20</v>
      </c>
      <c r="B26" t="s">
        <v>58</v>
      </c>
      <c r="C26" s="83">
        <v>33348</v>
      </c>
      <c r="D26" s="83">
        <v>45097</v>
      </c>
      <c r="E26" t="s">
        <v>45</v>
      </c>
      <c r="F26" t="s">
        <v>46</v>
      </c>
      <c r="G26" t="s">
        <v>48</v>
      </c>
      <c r="H26" t="s">
        <v>26</v>
      </c>
      <c r="I26" t="s">
        <v>26</v>
      </c>
      <c r="J26" t="s">
        <v>49</v>
      </c>
      <c r="K26">
        <v>40000</v>
      </c>
      <c r="M26" s="41">
        <f t="shared" si="0"/>
        <v>11</v>
      </c>
      <c r="N26" s="41">
        <v>11</v>
      </c>
      <c r="P26" s="87"/>
      <c r="R26" s="89"/>
    </row>
    <row r="27" spans="1:18">
      <c r="A27">
        <v>21</v>
      </c>
      <c r="B27" t="s">
        <v>59</v>
      </c>
      <c r="C27" s="83">
        <v>33349</v>
      </c>
      <c r="D27" s="83">
        <v>45098</v>
      </c>
      <c r="E27" t="s">
        <v>19</v>
      </c>
      <c r="F27" t="s">
        <v>19</v>
      </c>
      <c r="G27" t="s">
        <v>60</v>
      </c>
      <c r="H27" t="s">
        <v>21</v>
      </c>
      <c r="I27" t="s">
        <v>21</v>
      </c>
      <c r="J27" t="s">
        <v>61</v>
      </c>
      <c r="K27">
        <v>8000</v>
      </c>
      <c r="M27" s="41">
        <f t="shared" si="0"/>
        <v>11</v>
      </c>
      <c r="N27" s="41">
        <v>11</v>
      </c>
      <c r="P27" s="87"/>
      <c r="R27" s="89"/>
    </row>
    <row r="28" spans="1:18">
      <c r="A28">
        <v>22</v>
      </c>
      <c r="B28" t="s">
        <v>62</v>
      </c>
      <c r="C28" s="83">
        <v>33350</v>
      </c>
      <c r="D28" s="83">
        <v>45099</v>
      </c>
      <c r="E28" t="s">
        <v>24</v>
      </c>
      <c r="F28" t="s">
        <v>25</v>
      </c>
      <c r="G28" t="s">
        <v>60</v>
      </c>
      <c r="H28" t="s">
        <v>26</v>
      </c>
      <c r="I28" t="s">
        <v>21</v>
      </c>
      <c r="J28" t="s">
        <v>61</v>
      </c>
      <c r="K28">
        <v>10000</v>
      </c>
      <c r="M28" s="41">
        <f t="shared" si="0"/>
        <v>11</v>
      </c>
      <c r="N28" s="41">
        <v>11</v>
      </c>
      <c r="P28" s="87"/>
      <c r="R28" s="89"/>
    </row>
    <row r="29" spans="1:18">
      <c r="A29">
        <v>23</v>
      </c>
      <c r="B29" t="s">
        <v>63</v>
      </c>
      <c r="C29" s="83">
        <v>33351</v>
      </c>
      <c r="D29" s="83">
        <v>45100</v>
      </c>
      <c r="E29" t="s">
        <v>28</v>
      </c>
      <c r="F29" t="s">
        <v>29</v>
      </c>
      <c r="G29" t="s">
        <v>60</v>
      </c>
      <c r="H29" t="s">
        <v>21</v>
      </c>
      <c r="I29" t="s">
        <v>21</v>
      </c>
      <c r="J29" t="s">
        <v>61</v>
      </c>
      <c r="K29">
        <v>12000</v>
      </c>
      <c r="M29" s="41">
        <f t="shared" si="0"/>
        <v>11</v>
      </c>
      <c r="N29" s="41">
        <v>11</v>
      </c>
      <c r="P29" s="87"/>
      <c r="R29" s="89"/>
    </row>
    <row r="30" spans="1:18">
      <c r="A30">
        <v>24</v>
      </c>
      <c r="B30" t="s">
        <v>64</v>
      </c>
      <c r="C30" s="83">
        <v>33352</v>
      </c>
      <c r="D30" s="83">
        <v>45101</v>
      </c>
      <c r="E30" t="s">
        <v>24</v>
      </c>
      <c r="F30" t="s">
        <v>31</v>
      </c>
      <c r="G30" t="s">
        <v>60</v>
      </c>
      <c r="H30" t="s">
        <v>26</v>
      </c>
      <c r="I30" t="s">
        <v>21</v>
      </c>
      <c r="J30" t="s">
        <v>61</v>
      </c>
      <c r="K30">
        <v>15000</v>
      </c>
      <c r="M30" s="41">
        <f t="shared" si="0"/>
        <v>11</v>
      </c>
      <c r="N30" s="41">
        <v>11</v>
      </c>
      <c r="P30" s="87"/>
      <c r="R30" s="89"/>
    </row>
    <row r="31" spans="1:18">
      <c r="A31">
        <v>25</v>
      </c>
      <c r="B31" t="s">
        <v>65</v>
      </c>
      <c r="C31" s="83">
        <v>33353</v>
      </c>
      <c r="D31" s="83">
        <v>45102</v>
      </c>
      <c r="E31" t="s">
        <v>33</v>
      </c>
      <c r="F31" t="s">
        <v>34</v>
      </c>
      <c r="G31" t="s">
        <v>60</v>
      </c>
      <c r="H31" t="s">
        <v>21</v>
      </c>
      <c r="I31" t="s">
        <v>21</v>
      </c>
      <c r="J31" t="s">
        <v>61</v>
      </c>
      <c r="K31">
        <v>20000</v>
      </c>
      <c r="M31" s="41">
        <f t="shared" si="0"/>
        <v>11</v>
      </c>
      <c r="N31" s="41">
        <v>11</v>
      </c>
      <c r="P31" s="87"/>
      <c r="R31" s="89"/>
    </row>
    <row r="32" spans="1:18">
      <c r="A32">
        <v>26</v>
      </c>
      <c r="B32" t="s">
        <v>66</v>
      </c>
      <c r="C32" s="83">
        <v>33354</v>
      </c>
      <c r="D32" s="83">
        <v>45103</v>
      </c>
      <c r="E32" t="s">
        <v>33</v>
      </c>
      <c r="F32" t="s">
        <v>36</v>
      </c>
      <c r="G32" t="s">
        <v>60</v>
      </c>
      <c r="H32" t="s">
        <v>26</v>
      </c>
      <c r="I32" t="s">
        <v>21</v>
      </c>
      <c r="J32" t="s">
        <v>61</v>
      </c>
      <c r="K32">
        <f>K31+1000</f>
        <v>21000</v>
      </c>
      <c r="M32" s="41">
        <f t="shared" si="0"/>
        <v>11</v>
      </c>
      <c r="N32" s="41">
        <v>11</v>
      </c>
      <c r="P32" s="87"/>
      <c r="R32" s="89"/>
    </row>
    <row r="33" spans="1:18">
      <c r="A33">
        <v>27</v>
      </c>
      <c r="B33" t="s">
        <v>67</v>
      </c>
      <c r="C33" s="83">
        <v>33355</v>
      </c>
      <c r="D33" s="83">
        <v>45104</v>
      </c>
      <c r="E33" t="s">
        <v>19</v>
      </c>
      <c r="F33" t="s">
        <v>38</v>
      </c>
      <c r="G33" t="s">
        <v>60</v>
      </c>
      <c r="H33" t="s">
        <v>21</v>
      </c>
      <c r="I33" t="s">
        <v>26</v>
      </c>
      <c r="J33" t="s">
        <v>61</v>
      </c>
      <c r="K33">
        <v>35000</v>
      </c>
      <c r="M33" s="41">
        <f t="shared" si="0"/>
        <v>11</v>
      </c>
      <c r="N33" s="41">
        <v>11</v>
      </c>
      <c r="P33" s="87"/>
      <c r="R33" s="89"/>
    </row>
    <row r="34" spans="1:18">
      <c r="A34">
        <v>28</v>
      </c>
      <c r="B34" t="s">
        <v>68</v>
      </c>
      <c r="C34" s="83">
        <v>33356</v>
      </c>
      <c r="D34" s="83">
        <v>45105</v>
      </c>
      <c r="E34" t="s">
        <v>40</v>
      </c>
      <c r="F34" t="s">
        <v>41</v>
      </c>
      <c r="G34" t="s">
        <v>60</v>
      </c>
      <c r="H34" t="s">
        <v>26</v>
      </c>
      <c r="I34" t="s">
        <v>26</v>
      </c>
      <c r="J34" t="s">
        <v>61</v>
      </c>
      <c r="K34">
        <v>8000</v>
      </c>
      <c r="M34" s="41">
        <f t="shared" si="0"/>
        <v>11</v>
      </c>
      <c r="N34" s="41">
        <v>11</v>
      </c>
      <c r="P34" s="87"/>
      <c r="R34" s="89"/>
    </row>
    <row r="35" spans="1:18">
      <c r="A35">
        <v>29</v>
      </c>
      <c r="B35" t="s">
        <v>69</v>
      </c>
      <c r="C35" s="83">
        <v>33357</v>
      </c>
      <c r="D35" s="83">
        <v>45106</v>
      </c>
      <c r="E35" t="s">
        <v>19</v>
      </c>
      <c r="F35" t="s">
        <v>43</v>
      </c>
      <c r="G35" t="s">
        <v>60</v>
      </c>
      <c r="H35" t="s">
        <v>21</v>
      </c>
      <c r="I35" t="s">
        <v>26</v>
      </c>
      <c r="J35" t="s">
        <v>61</v>
      </c>
      <c r="K35">
        <v>16500</v>
      </c>
      <c r="M35" s="41">
        <f t="shared" si="0"/>
        <v>11</v>
      </c>
      <c r="N35" s="41">
        <v>11</v>
      </c>
      <c r="P35" s="87"/>
      <c r="R35" s="89"/>
    </row>
    <row r="36" spans="1:18">
      <c r="A36">
        <v>30</v>
      </c>
      <c r="B36" t="s">
        <v>70</v>
      </c>
      <c r="C36" s="83">
        <v>33358</v>
      </c>
      <c r="D36" s="83">
        <v>45107</v>
      </c>
      <c r="E36" t="s">
        <v>45</v>
      </c>
      <c r="F36" t="s">
        <v>46</v>
      </c>
      <c r="G36" t="s">
        <v>60</v>
      </c>
      <c r="H36" t="s">
        <v>26</v>
      </c>
      <c r="I36" t="s">
        <v>26</v>
      </c>
      <c r="J36" t="s">
        <v>61</v>
      </c>
      <c r="K36">
        <v>40000</v>
      </c>
      <c r="M36" s="41">
        <f t="shared" si="0"/>
        <v>11</v>
      </c>
      <c r="N36" s="41">
        <v>11</v>
      </c>
      <c r="P36" s="87"/>
      <c r="R36" s="89"/>
    </row>
    <row r="37" spans="1:18">
      <c r="A37">
        <v>31</v>
      </c>
      <c r="B37" t="s">
        <v>71</v>
      </c>
      <c r="C37" s="83">
        <v>33359</v>
      </c>
      <c r="D37" s="83">
        <v>45108</v>
      </c>
      <c r="E37" t="s">
        <v>19</v>
      </c>
      <c r="F37" t="s">
        <v>19</v>
      </c>
      <c r="G37" t="s">
        <v>72</v>
      </c>
      <c r="H37" t="s">
        <v>21</v>
      </c>
      <c r="I37" t="s">
        <v>26</v>
      </c>
      <c r="J37" t="s">
        <v>73</v>
      </c>
      <c r="K37">
        <v>8000</v>
      </c>
      <c r="M37" s="41">
        <f t="shared" si="0"/>
        <v>11</v>
      </c>
      <c r="N37" s="41">
        <v>11</v>
      </c>
      <c r="P37" s="87"/>
      <c r="R37" s="89"/>
    </row>
    <row r="38" spans="1:18">
      <c r="A38">
        <v>32</v>
      </c>
      <c r="B38" t="s">
        <v>74</v>
      </c>
      <c r="C38" s="83">
        <v>33360</v>
      </c>
      <c r="D38" s="83">
        <v>45109</v>
      </c>
      <c r="E38" t="s">
        <v>24</v>
      </c>
      <c r="F38" t="s">
        <v>25</v>
      </c>
      <c r="G38" t="s">
        <v>72</v>
      </c>
      <c r="H38" t="s">
        <v>26</v>
      </c>
      <c r="I38" t="s">
        <v>26</v>
      </c>
      <c r="J38" t="s">
        <v>73</v>
      </c>
      <c r="K38">
        <v>10000</v>
      </c>
      <c r="M38" s="41">
        <f t="shared" si="0"/>
        <v>11</v>
      </c>
      <c r="N38" s="41">
        <v>11</v>
      </c>
      <c r="P38" s="87"/>
      <c r="R38" s="89"/>
    </row>
    <row r="39" spans="1:18">
      <c r="A39">
        <v>33</v>
      </c>
      <c r="B39" t="s">
        <v>75</v>
      </c>
      <c r="C39" s="83">
        <v>33361</v>
      </c>
      <c r="D39" s="83">
        <v>45110</v>
      </c>
      <c r="E39" t="s">
        <v>28</v>
      </c>
      <c r="F39" t="s">
        <v>29</v>
      </c>
      <c r="G39" t="s">
        <v>72</v>
      </c>
      <c r="H39" t="s">
        <v>21</v>
      </c>
      <c r="I39" t="s">
        <v>26</v>
      </c>
      <c r="J39" t="s">
        <v>73</v>
      </c>
      <c r="K39">
        <v>12000</v>
      </c>
      <c r="M39" s="41">
        <f t="shared" si="0"/>
        <v>11</v>
      </c>
      <c r="N39" s="41">
        <v>11</v>
      </c>
      <c r="P39" s="87"/>
      <c r="R39" s="89"/>
    </row>
    <row r="40" spans="1:18">
      <c r="A40">
        <v>34</v>
      </c>
      <c r="B40" t="s">
        <v>76</v>
      </c>
      <c r="C40" s="83">
        <v>33362</v>
      </c>
      <c r="D40" s="83">
        <v>45111</v>
      </c>
      <c r="E40" t="s">
        <v>24</v>
      </c>
      <c r="F40" t="s">
        <v>31</v>
      </c>
      <c r="G40" t="s">
        <v>72</v>
      </c>
      <c r="H40" t="s">
        <v>26</v>
      </c>
      <c r="I40" t="s">
        <v>26</v>
      </c>
      <c r="J40" t="s">
        <v>73</v>
      </c>
      <c r="K40">
        <v>15000</v>
      </c>
      <c r="M40" s="41">
        <f t="shared" si="0"/>
        <v>11</v>
      </c>
      <c r="N40" s="41">
        <v>11</v>
      </c>
      <c r="P40" s="87"/>
      <c r="R40" s="89"/>
    </row>
    <row r="41" spans="1:18">
      <c r="A41">
        <v>35</v>
      </c>
      <c r="B41" t="s">
        <v>77</v>
      </c>
      <c r="C41" s="83">
        <v>33363</v>
      </c>
      <c r="D41" s="83">
        <v>45112</v>
      </c>
      <c r="E41" t="s">
        <v>33</v>
      </c>
      <c r="F41" t="s">
        <v>34</v>
      </c>
      <c r="G41" t="s">
        <v>72</v>
      </c>
      <c r="H41" t="s">
        <v>21</v>
      </c>
      <c r="I41" t="s">
        <v>26</v>
      </c>
      <c r="J41" t="s">
        <v>73</v>
      </c>
      <c r="K41">
        <v>20000</v>
      </c>
      <c r="M41" s="41">
        <f t="shared" si="0"/>
        <v>11</v>
      </c>
      <c r="N41" s="41">
        <v>11</v>
      </c>
      <c r="P41" s="87"/>
      <c r="R41" s="89"/>
    </row>
    <row r="42" spans="1:18">
      <c r="A42">
        <v>36</v>
      </c>
      <c r="B42" t="s">
        <v>78</v>
      </c>
      <c r="C42" s="83">
        <v>33364</v>
      </c>
      <c r="D42" s="83">
        <v>45113</v>
      </c>
      <c r="E42" t="s">
        <v>33</v>
      </c>
      <c r="F42" t="s">
        <v>36</v>
      </c>
      <c r="G42" t="s">
        <v>72</v>
      </c>
      <c r="H42" t="s">
        <v>26</v>
      </c>
      <c r="I42" t="s">
        <v>26</v>
      </c>
      <c r="J42" t="s">
        <v>73</v>
      </c>
      <c r="K42">
        <f>K41+1000</f>
        <v>21000</v>
      </c>
      <c r="M42" s="41">
        <f t="shared" si="0"/>
        <v>11</v>
      </c>
      <c r="N42" s="41">
        <v>11</v>
      </c>
      <c r="P42" s="87"/>
      <c r="R42" s="89"/>
    </row>
    <row r="43" spans="1:18">
      <c r="A43">
        <v>37</v>
      </c>
      <c r="B43" t="s">
        <v>79</v>
      </c>
      <c r="C43" s="83">
        <v>33365</v>
      </c>
      <c r="D43" s="83">
        <v>45114</v>
      </c>
      <c r="E43" t="s">
        <v>19</v>
      </c>
      <c r="F43" t="s">
        <v>38</v>
      </c>
      <c r="G43" t="s">
        <v>72</v>
      </c>
      <c r="H43" t="s">
        <v>21</v>
      </c>
      <c r="I43" t="s">
        <v>26</v>
      </c>
      <c r="J43" t="s">
        <v>73</v>
      </c>
      <c r="K43">
        <v>35000</v>
      </c>
      <c r="M43" s="41">
        <f t="shared" si="0"/>
        <v>11</v>
      </c>
      <c r="N43" s="41">
        <v>11</v>
      </c>
      <c r="P43" s="87"/>
      <c r="R43" s="89"/>
    </row>
    <row r="44" spans="1:18">
      <c r="A44">
        <v>38</v>
      </c>
      <c r="B44" t="s">
        <v>80</v>
      </c>
      <c r="C44" s="83">
        <v>33366</v>
      </c>
      <c r="D44" s="83">
        <v>45115</v>
      </c>
      <c r="E44" t="s">
        <v>40</v>
      </c>
      <c r="F44" t="s">
        <v>41</v>
      </c>
      <c r="G44" t="s">
        <v>72</v>
      </c>
      <c r="H44" t="s">
        <v>26</v>
      </c>
      <c r="I44" t="s">
        <v>26</v>
      </c>
      <c r="J44" t="s">
        <v>73</v>
      </c>
      <c r="K44">
        <v>8000</v>
      </c>
      <c r="M44" s="41">
        <f t="shared" si="0"/>
        <v>11</v>
      </c>
      <c r="N44" s="41">
        <v>11</v>
      </c>
      <c r="P44" s="87"/>
      <c r="R44" s="89"/>
    </row>
    <row r="45" spans="1:18">
      <c r="A45">
        <v>39</v>
      </c>
      <c r="B45" t="s">
        <v>81</v>
      </c>
      <c r="C45" s="83">
        <v>33367</v>
      </c>
      <c r="D45" s="83">
        <v>45116</v>
      </c>
      <c r="E45" t="s">
        <v>19</v>
      </c>
      <c r="F45" t="s">
        <v>43</v>
      </c>
      <c r="G45" t="s">
        <v>72</v>
      </c>
      <c r="H45" t="s">
        <v>21</v>
      </c>
      <c r="I45" t="s">
        <v>26</v>
      </c>
      <c r="J45" t="s">
        <v>73</v>
      </c>
      <c r="K45">
        <v>16500</v>
      </c>
      <c r="M45" s="41">
        <f t="shared" si="0"/>
        <v>11</v>
      </c>
      <c r="N45" s="41">
        <v>11</v>
      </c>
      <c r="P45" s="87"/>
      <c r="R45" s="89"/>
    </row>
    <row r="46" spans="1:18">
      <c r="A46">
        <v>40</v>
      </c>
      <c r="B46" t="s">
        <v>82</v>
      </c>
      <c r="C46" s="83">
        <v>33368</v>
      </c>
      <c r="D46" s="83">
        <v>45117</v>
      </c>
      <c r="E46" t="s">
        <v>45</v>
      </c>
      <c r="F46" t="s">
        <v>46</v>
      </c>
      <c r="G46" t="s">
        <v>72</v>
      </c>
      <c r="H46" t="s">
        <v>26</v>
      </c>
      <c r="I46" t="s">
        <v>26</v>
      </c>
      <c r="J46" t="s">
        <v>73</v>
      </c>
      <c r="K46">
        <v>40000</v>
      </c>
      <c r="M46" s="41">
        <f t="shared" si="0"/>
        <v>11</v>
      </c>
      <c r="N46" s="41">
        <v>11</v>
      </c>
      <c r="P46" s="87"/>
      <c r="R46" s="89"/>
    </row>
    <row r="47" s="59" customFormat="1" spans="13:14">
      <c r="M47" s="88">
        <f>SUM(M7:M46)</f>
        <v>440</v>
      </c>
      <c r="N47" s="88">
        <f>SUM(N7:N46)</f>
        <v>440</v>
      </c>
    </row>
  </sheetData>
  <mergeCells count="5">
    <mergeCell ref="A1:K1"/>
    <mergeCell ref="B2:K2"/>
    <mergeCell ref="B3:K3"/>
    <mergeCell ref="B4:K4"/>
    <mergeCell ref="M1:N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3"/>
  <sheetViews>
    <sheetView topLeftCell="B7" workbookViewId="0">
      <selection activeCell="F20" sqref="F20"/>
    </sheetView>
  </sheetViews>
  <sheetFormatPr defaultColWidth="9.14285714285714" defaultRowHeight="15"/>
  <cols>
    <col min="2" max="2" width="23.7142857142857" customWidth="1"/>
    <col min="3" max="3" width="27.8571428571429" customWidth="1"/>
    <col min="4" max="4" width="26.1428571428571" customWidth="1"/>
    <col min="5" max="5" width="27.1428571428571" customWidth="1"/>
    <col min="6" max="6" width="29.4285714285714" customWidth="1"/>
    <col min="8" max="9" width="9" style="41"/>
  </cols>
  <sheetData>
    <row r="1" spans="8:9">
      <c r="H1" s="56" t="s">
        <v>1</v>
      </c>
      <c r="I1" s="56"/>
    </row>
    <row r="2" customFormat="1" ht="15.75" spans="8:9">
      <c r="H2" s="41" t="s">
        <v>16</v>
      </c>
      <c r="I2" s="41" t="s">
        <v>17</v>
      </c>
    </row>
    <row r="3" s="58" customFormat="1" spans="2:9">
      <c r="B3" s="60" t="s">
        <v>83</v>
      </c>
      <c r="C3" s="61" t="s">
        <v>84</v>
      </c>
      <c r="D3" s="61" t="s">
        <v>85</v>
      </c>
      <c r="E3" s="61" t="s">
        <v>86</v>
      </c>
      <c r="F3" s="62" t="s">
        <v>87</v>
      </c>
      <c r="H3" s="41">
        <f t="shared" ref="H3:H21" si="0">COUNTA(C3:F3)</f>
        <v>4</v>
      </c>
      <c r="I3" s="41">
        <v>4</v>
      </c>
    </row>
    <row r="4" spans="2:9">
      <c r="B4" s="17" t="s">
        <v>88</v>
      </c>
      <c r="C4" s="63" t="s">
        <v>89</v>
      </c>
      <c r="D4" s="63" t="s">
        <v>90</v>
      </c>
      <c r="E4" s="63" t="s">
        <v>91</v>
      </c>
      <c r="F4" s="64" t="s">
        <v>92</v>
      </c>
      <c r="H4" s="41">
        <f t="shared" si="0"/>
        <v>4</v>
      </c>
      <c r="I4" s="41">
        <v>4</v>
      </c>
    </row>
    <row r="5" spans="2:9">
      <c r="B5" s="17" t="s">
        <v>93</v>
      </c>
      <c r="C5" s="63" t="s">
        <v>94</v>
      </c>
      <c r="D5" s="63" t="s">
        <v>95</v>
      </c>
      <c r="E5" s="63" t="s">
        <v>96</v>
      </c>
      <c r="F5" s="64" t="s">
        <v>96</v>
      </c>
      <c r="H5" s="41">
        <f t="shared" si="0"/>
        <v>4</v>
      </c>
      <c r="I5" s="41">
        <v>4</v>
      </c>
    </row>
    <row r="6" spans="2:9">
      <c r="B6" s="17" t="s">
        <v>97</v>
      </c>
      <c r="C6" s="63" t="s">
        <v>98</v>
      </c>
      <c r="D6" s="63" t="s">
        <v>98</v>
      </c>
      <c r="E6" s="63" t="s">
        <v>96</v>
      </c>
      <c r="F6" s="64" t="s">
        <v>96</v>
      </c>
      <c r="H6" s="41">
        <f t="shared" si="0"/>
        <v>4</v>
      </c>
      <c r="I6" s="41">
        <v>4</v>
      </c>
    </row>
    <row r="7" ht="45" spans="2:9">
      <c r="B7" s="17" t="s">
        <v>99</v>
      </c>
      <c r="C7" s="65" t="s">
        <v>100</v>
      </c>
      <c r="D7" s="66" t="s">
        <v>101</v>
      </c>
      <c r="E7" s="65" t="s">
        <v>102</v>
      </c>
      <c r="F7" s="67" t="s">
        <v>103</v>
      </c>
      <c r="H7" s="41">
        <f t="shared" si="0"/>
        <v>4</v>
      </c>
      <c r="I7" s="41">
        <v>1</v>
      </c>
    </row>
    <row r="8" ht="30" spans="2:9">
      <c r="B8" s="17" t="s">
        <v>104</v>
      </c>
      <c r="C8" s="63" t="s">
        <v>96</v>
      </c>
      <c r="D8" s="63" t="s">
        <v>96</v>
      </c>
      <c r="E8" s="63" t="s">
        <v>105</v>
      </c>
      <c r="F8" s="68" t="s">
        <v>106</v>
      </c>
      <c r="H8" s="41">
        <f t="shared" si="0"/>
        <v>4</v>
      </c>
      <c r="I8" s="41">
        <v>0.5</v>
      </c>
    </row>
    <row r="9" spans="2:9">
      <c r="B9" s="17" t="s">
        <v>107</v>
      </c>
      <c r="C9" s="63" t="s">
        <v>108</v>
      </c>
      <c r="D9" s="63" t="s">
        <v>109</v>
      </c>
      <c r="E9" s="63" t="s">
        <v>109</v>
      </c>
      <c r="F9" s="64" t="s">
        <v>108</v>
      </c>
      <c r="H9" s="41">
        <f t="shared" si="0"/>
        <v>4</v>
      </c>
      <c r="I9" s="41">
        <v>4</v>
      </c>
    </row>
    <row r="10" spans="2:9">
      <c r="B10" s="17" t="s">
        <v>110</v>
      </c>
      <c r="C10" s="63">
        <v>60</v>
      </c>
      <c r="D10" s="63">
        <v>90</v>
      </c>
      <c r="E10" s="63">
        <v>90</v>
      </c>
      <c r="F10" s="64">
        <v>120</v>
      </c>
      <c r="H10" s="41">
        <f t="shared" si="0"/>
        <v>4</v>
      </c>
      <c r="I10" s="41">
        <v>4</v>
      </c>
    </row>
    <row r="11" spans="2:9">
      <c r="B11" s="17" t="s">
        <v>111</v>
      </c>
      <c r="C11" s="63">
        <v>240</v>
      </c>
      <c r="D11" s="63">
        <v>500</v>
      </c>
      <c r="E11" s="63">
        <v>500</v>
      </c>
      <c r="F11" s="64">
        <v>600</v>
      </c>
      <c r="H11" s="41">
        <f t="shared" si="0"/>
        <v>4</v>
      </c>
      <c r="I11" s="41">
        <v>4</v>
      </c>
    </row>
    <row r="12" spans="2:9">
      <c r="B12" s="17" t="s">
        <v>112</v>
      </c>
      <c r="C12" s="63" t="s">
        <v>109</v>
      </c>
      <c r="D12" s="63" t="s">
        <v>108</v>
      </c>
      <c r="E12" s="63" t="s">
        <v>108</v>
      </c>
      <c r="F12" s="64" t="s">
        <v>109</v>
      </c>
      <c r="H12" s="41">
        <f t="shared" si="0"/>
        <v>4</v>
      </c>
      <c r="I12" s="41">
        <v>4</v>
      </c>
    </row>
    <row r="13" spans="2:9">
      <c r="B13" s="17" t="s">
        <v>110</v>
      </c>
      <c r="C13" s="63">
        <v>90</v>
      </c>
      <c r="D13" s="63">
        <v>60</v>
      </c>
      <c r="E13" s="63">
        <v>120</v>
      </c>
      <c r="F13" s="64">
        <v>90</v>
      </c>
      <c r="H13" s="41">
        <f t="shared" si="0"/>
        <v>4</v>
      </c>
      <c r="I13" s="41">
        <v>4</v>
      </c>
    </row>
    <row r="14" spans="2:9">
      <c r="B14" s="17" t="s">
        <v>111</v>
      </c>
      <c r="C14" s="63">
        <v>500</v>
      </c>
      <c r="D14" s="63">
        <v>240</v>
      </c>
      <c r="E14" s="63">
        <v>600</v>
      </c>
      <c r="F14" s="64">
        <v>500</v>
      </c>
      <c r="H14" s="41">
        <f t="shared" si="0"/>
        <v>4</v>
      </c>
      <c r="I14" s="41">
        <v>4</v>
      </c>
    </row>
    <row r="15" spans="2:9">
      <c r="B15" s="17" t="s">
        <v>113</v>
      </c>
      <c r="C15" s="63" t="s">
        <v>114</v>
      </c>
      <c r="D15" s="63" t="s">
        <v>115</v>
      </c>
      <c r="E15" s="63" t="s">
        <v>114</v>
      </c>
      <c r="F15" s="67" t="s">
        <v>115</v>
      </c>
      <c r="H15" s="41">
        <f t="shared" si="0"/>
        <v>4</v>
      </c>
      <c r="I15" s="41">
        <v>3</v>
      </c>
    </row>
    <row r="16" spans="2:9">
      <c r="B16" s="17" t="s">
        <v>116</v>
      </c>
      <c r="C16" s="63" t="s">
        <v>117</v>
      </c>
      <c r="D16" s="63" t="s">
        <v>117</v>
      </c>
      <c r="E16" s="63" t="s">
        <v>117</v>
      </c>
      <c r="F16" s="66" t="s">
        <v>117</v>
      </c>
      <c r="H16" s="41">
        <f t="shared" si="0"/>
        <v>4</v>
      </c>
      <c r="I16" s="41">
        <v>3</v>
      </c>
    </row>
    <row r="17" ht="30" spans="2:9">
      <c r="B17" s="17" t="s">
        <v>118</v>
      </c>
      <c r="C17" s="63" t="s">
        <v>119</v>
      </c>
      <c r="D17" s="69" t="s">
        <v>120</v>
      </c>
      <c r="E17" s="65" t="s">
        <v>121</v>
      </c>
      <c r="F17" s="67" t="s">
        <v>122</v>
      </c>
      <c r="H17" s="41">
        <f t="shared" si="0"/>
        <v>4</v>
      </c>
      <c r="I17" s="41">
        <v>2.5</v>
      </c>
    </row>
    <row r="18" spans="2:9">
      <c r="B18" s="17" t="s">
        <v>123</v>
      </c>
      <c r="C18" s="63" t="s">
        <v>124</v>
      </c>
      <c r="D18" s="69" t="s">
        <v>125</v>
      </c>
      <c r="E18" s="63" t="s">
        <v>96</v>
      </c>
      <c r="F18" s="70" t="s">
        <v>126</v>
      </c>
      <c r="H18" s="41">
        <f t="shared" si="0"/>
        <v>4</v>
      </c>
      <c r="I18" s="41">
        <v>3</v>
      </c>
    </row>
    <row r="19" spans="2:9">
      <c r="B19" s="46" t="s">
        <v>127</v>
      </c>
      <c r="C19" s="71">
        <v>45519</v>
      </c>
      <c r="D19" s="71">
        <v>45519</v>
      </c>
      <c r="E19" s="71">
        <v>45519</v>
      </c>
      <c r="F19" s="72">
        <v>45519</v>
      </c>
      <c r="H19" s="41">
        <f t="shared" si="0"/>
        <v>4</v>
      </c>
      <c r="I19" s="41">
        <v>4</v>
      </c>
    </row>
    <row r="20" spans="2:9">
      <c r="B20" s="46" t="s">
        <v>127</v>
      </c>
      <c r="C20" s="73">
        <v>45683</v>
      </c>
      <c r="D20" s="73">
        <v>45683</v>
      </c>
      <c r="E20" s="73">
        <v>45683</v>
      </c>
      <c r="F20" s="74">
        <v>45683</v>
      </c>
      <c r="H20" s="41">
        <f t="shared" si="0"/>
        <v>4</v>
      </c>
      <c r="I20" s="41">
        <v>4</v>
      </c>
    </row>
    <row r="21" ht="15.75" spans="2:11">
      <c r="B21" s="52" t="s">
        <v>128</v>
      </c>
      <c r="C21" s="75" t="s">
        <v>129</v>
      </c>
      <c r="D21" s="76" t="s">
        <v>130</v>
      </c>
      <c r="E21" s="76" t="s">
        <v>131</v>
      </c>
      <c r="F21" s="77" t="s">
        <v>129</v>
      </c>
      <c r="H21" s="41">
        <f t="shared" si="0"/>
        <v>4</v>
      </c>
      <c r="I21" s="41">
        <v>0</v>
      </c>
      <c r="K21" t="s">
        <v>132</v>
      </c>
    </row>
    <row r="22" s="59" customFormat="1" spans="8:9">
      <c r="H22" s="57">
        <f>SUM(H3:H21)</f>
        <v>76</v>
      </c>
      <c r="I22" s="57">
        <f>SUM(I3:I21)</f>
        <v>61</v>
      </c>
    </row>
    <row r="23" spans="2:2">
      <c r="B23" t="s">
        <v>133</v>
      </c>
    </row>
  </sheetData>
  <mergeCells count="1">
    <mergeCell ref="H1:I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6"/>
  <sheetViews>
    <sheetView workbookViewId="0">
      <selection activeCell="J15" sqref="J15"/>
    </sheetView>
  </sheetViews>
  <sheetFormatPr defaultColWidth="9.14285714285714" defaultRowHeight="15"/>
  <cols>
    <col min="2" max="2" width="11.5714285714286" customWidth="1"/>
    <col min="3" max="3" width="26.4285714285714" customWidth="1"/>
    <col min="4" max="4" width="15.5714285714286" style="40" customWidth="1"/>
    <col min="5" max="6" width="17.8571428571429" style="40" customWidth="1"/>
    <col min="7" max="7" width="18.4285714285714" style="40" customWidth="1"/>
    <col min="9" max="10" width="9" style="41"/>
  </cols>
  <sheetData>
    <row r="1" spans="9:10">
      <c r="I1" s="56" t="s">
        <v>1</v>
      </c>
      <c r="J1" s="56"/>
    </row>
    <row r="2" ht="15.75" spans="9:10">
      <c r="I2" s="41" t="s">
        <v>16</v>
      </c>
      <c r="J2" s="41" t="s">
        <v>17</v>
      </c>
    </row>
    <row r="3" ht="31.5" spans="2:10">
      <c r="B3" s="42" t="s">
        <v>134</v>
      </c>
      <c r="C3" s="43" t="s">
        <v>135</v>
      </c>
      <c r="D3" s="44" t="s">
        <v>136</v>
      </c>
      <c r="E3" s="44" t="s">
        <v>85</v>
      </c>
      <c r="F3" s="44" t="s">
        <v>86</v>
      </c>
      <c r="G3" s="45" t="s">
        <v>87</v>
      </c>
      <c r="I3" s="41">
        <f t="shared" ref="I3:I14" si="0">COUNTA(D3:G3)</f>
        <v>4</v>
      </c>
      <c r="J3" s="41">
        <v>4</v>
      </c>
    </row>
    <row r="4" spans="2:10">
      <c r="B4" s="46" t="s">
        <v>137</v>
      </c>
      <c r="C4" s="47" t="s">
        <v>138</v>
      </c>
      <c r="D4" s="48">
        <v>12</v>
      </c>
      <c r="E4" s="48" t="s">
        <v>139</v>
      </c>
      <c r="F4" s="48">
        <v>12</v>
      </c>
      <c r="G4" s="49" t="s">
        <v>139</v>
      </c>
      <c r="I4" s="41">
        <f t="shared" si="0"/>
        <v>4</v>
      </c>
      <c r="J4" s="41">
        <v>3</v>
      </c>
    </row>
    <row r="5" ht="30" spans="2:10">
      <c r="B5" s="46" t="s">
        <v>137</v>
      </c>
      <c r="C5" s="47" t="s">
        <v>140</v>
      </c>
      <c r="D5" s="48" t="s">
        <v>141</v>
      </c>
      <c r="E5" s="48" t="s">
        <v>142</v>
      </c>
      <c r="F5" s="48" t="s">
        <v>141</v>
      </c>
      <c r="G5" s="50" t="s">
        <v>143</v>
      </c>
      <c r="I5" s="41">
        <f t="shared" si="0"/>
        <v>4</v>
      </c>
      <c r="J5" s="41">
        <v>4</v>
      </c>
    </row>
    <row r="6" spans="2:10">
      <c r="B6" s="46" t="s">
        <v>137</v>
      </c>
      <c r="C6" s="47" t="s">
        <v>144</v>
      </c>
      <c r="D6" s="48" t="s">
        <v>108</v>
      </c>
      <c r="E6" s="48" t="s">
        <v>109</v>
      </c>
      <c r="F6" s="48" t="s">
        <v>108</v>
      </c>
      <c r="G6" s="50" t="s">
        <v>109</v>
      </c>
      <c r="I6" s="41">
        <f t="shared" si="0"/>
        <v>4</v>
      </c>
      <c r="J6" s="41">
        <v>4</v>
      </c>
    </row>
    <row r="7" spans="2:10">
      <c r="B7" s="46" t="s">
        <v>137</v>
      </c>
      <c r="C7" s="47" t="s">
        <v>145</v>
      </c>
      <c r="D7" s="48">
        <v>1</v>
      </c>
      <c r="E7" s="48">
        <v>3</v>
      </c>
      <c r="F7" s="48" t="s">
        <v>96</v>
      </c>
      <c r="G7" s="50" t="s">
        <v>96</v>
      </c>
      <c r="I7" s="41">
        <f t="shared" si="0"/>
        <v>4</v>
      </c>
      <c r="J7" s="41">
        <v>4</v>
      </c>
    </row>
    <row r="8" spans="2:10">
      <c r="B8" s="46" t="s">
        <v>137</v>
      </c>
      <c r="C8" s="47" t="s">
        <v>146</v>
      </c>
      <c r="D8" s="48" t="s">
        <v>96</v>
      </c>
      <c r="E8" s="48" t="s">
        <v>96</v>
      </c>
      <c r="F8" s="48">
        <v>5</v>
      </c>
      <c r="G8" s="50">
        <v>1</v>
      </c>
      <c r="I8" s="41">
        <f t="shared" si="0"/>
        <v>4</v>
      </c>
      <c r="J8" s="41">
        <v>4</v>
      </c>
    </row>
    <row r="9" spans="2:10">
      <c r="B9" s="46" t="s">
        <v>137</v>
      </c>
      <c r="C9" s="47" t="s">
        <v>147</v>
      </c>
      <c r="D9" s="48">
        <v>4</v>
      </c>
      <c r="E9" s="48">
        <v>2</v>
      </c>
      <c r="F9" s="51" t="s">
        <v>96</v>
      </c>
      <c r="G9" s="50" t="s">
        <v>96</v>
      </c>
      <c r="I9" s="41">
        <f t="shared" si="0"/>
        <v>4</v>
      </c>
      <c r="J9" s="41">
        <v>3</v>
      </c>
    </row>
    <row r="10" spans="2:10">
      <c r="B10" s="46" t="s">
        <v>137</v>
      </c>
      <c r="C10" s="47" t="s">
        <v>148</v>
      </c>
      <c r="D10" s="48" t="s">
        <v>96</v>
      </c>
      <c r="E10" s="48" t="s">
        <v>96</v>
      </c>
      <c r="F10" s="48">
        <v>8</v>
      </c>
      <c r="G10" s="50">
        <v>4</v>
      </c>
      <c r="I10" s="41">
        <f t="shared" si="0"/>
        <v>4</v>
      </c>
      <c r="J10" s="41">
        <v>4</v>
      </c>
    </row>
    <row r="11" ht="30" spans="2:10">
      <c r="B11" s="46" t="s">
        <v>137</v>
      </c>
      <c r="C11" s="47" t="s">
        <v>149</v>
      </c>
      <c r="D11" s="48" t="s">
        <v>150</v>
      </c>
      <c r="E11" s="48" t="s">
        <v>151</v>
      </c>
      <c r="F11" s="48" t="s">
        <v>152</v>
      </c>
      <c r="G11" s="50" t="s">
        <v>153</v>
      </c>
      <c r="I11" s="41">
        <f t="shared" si="0"/>
        <v>4</v>
      </c>
      <c r="J11" s="41">
        <v>4</v>
      </c>
    </row>
    <row r="12" spans="2:10">
      <c r="B12" s="46" t="s">
        <v>137</v>
      </c>
      <c r="C12" s="47" t="s">
        <v>154</v>
      </c>
      <c r="D12" s="51" t="s">
        <v>108</v>
      </c>
      <c r="E12" s="48" t="s">
        <v>109</v>
      </c>
      <c r="F12" s="48" t="s">
        <v>109</v>
      </c>
      <c r="G12" s="50" t="s">
        <v>108</v>
      </c>
      <c r="I12" s="41">
        <f t="shared" si="0"/>
        <v>4</v>
      </c>
      <c r="J12" s="41">
        <v>3</v>
      </c>
    </row>
    <row r="13" spans="2:10">
      <c r="B13" s="46" t="s">
        <v>137</v>
      </c>
      <c r="C13" s="47" t="s">
        <v>155</v>
      </c>
      <c r="D13" s="51" t="s">
        <v>109</v>
      </c>
      <c r="E13" s="48" t="s">
        <v>108</v>
      </c>
      <c r="F13" s="48" t="s">
        <v>108</v>
      </c>
      <c r="G13" s="50" t="s">
        <v>108</v>
      </c>
      <c r="I13" s="41">
        <f t="shared" si="0"/>
        <v>4</v>
      </c>
      <c r="J13" s="41">
        <v>3</v>
      </c>
    </row>
    <row r="14" ht="15.75" spans="2:10">
      <c r="B14" s="52" t="s">
        <v>137</v>
      </c>
      <c r="C14" s="53" t="s">
        <v>156</v>
      </c>
      <c r="D14" s="54" t="s">
        <v>157</v>
      </c>
      <c r="E14" s="54" t="s">
        <v>96</v>
      </c>
      <c r="F14" s="54" t="s">
        <v>158</v>
      </c>
      <c r="G14" s="55" t="s">
        <v>96</v>
      </c>
      <c r="I14" s="41">
        <f t="shared" si="0"/>
        <v>4</v>
      </c>
      <c r="J14" s="41">
        <v>4</v>
      </c>
    </row>
    <row r="15" spans="9:10">
      <c r="I15" s="57">
        <f>SUM(I3:I14)</f>
        <v>48</v>
      </c>
      <c r="J15" s="57">
        <f>SUM(J3:J14)</f>
        <v>44</v>
      </c>
    </row>
    <row r="16" spans="2:3">
      <c r="B16" t="s">
        <v>159</v>
      </c>
      <c r="C16" t="s">
        <v>160</v>
      </c>
    </row>
  </sheetData>
  <mergeCells count="1">
    <mergeCell ref="I1:J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opLeftCell="A13" workbookViewId="0">
      <selection activeCell="C20" sqref="C20"/>
    </sheetView>
  </sheetViews>
  <sheetFormatPr defaultColWidth="9.14285714285714" defaultRowHeight="15" outlineLevelCol="6"/>
  <cols>
    <col min="1" max="1" width="18.2857142857143" style="12" customWidth="1"/>
    <col min="2" max="2" width="44.1428571428571" style="12" customWidth="1"/>
    <col min="3" max="3" width="15.5714285714286" style="12" customWidth="1"/>
    <col min="4" max="4" width="14.2857142857143" style="12" customWidth="1"/>
    <col min="5" max="5" width="15.1428571428571" style="12" customWidth="1"/>
    <col min="6" max="16384" width="9.14285714285714" style="12"/>
  </cols>
  <sheetData>
    <row r="1" ht="15.75"/>
    <row r="2" ht="15.75" spans="1:2">
      <c r="A2" s="13" t="s">
        <v>161</v>
      </c>
      <c r="B2" s="14"/>
    </row>
    <row r="3" ht="45" spans="1:2">
      <c r="A3" s="15" t="s">
        <v>162</v>
      </c>
      <c r="B3" s="16" t="s">
        <v>163</v>
      </c>
    </row>
    <row r="4" ht="60" spans="1:2">
      <c r="A4" s="17" t="s">
        <v>164</v>
      </c>
      <c r="B4" s="18" t="s">
        <v>165</v>
      </c>
    </row>
    <row r="5" ht="45" spans="1:2">
      <c r="A5" s="17" t="s">
        <v>166</v>
      </c>
      <c r="B5" s="18" t="s">
        <v>167</v>
      </c>
    </row>
    <row r="6" ht="30.75" spans="1:2">
      <c r="A6" s="19" t="s">
        <v>168</v>
      </c>
      <c r="B6" s="20" t="s">
        <v>169</v>
      </c>
    </row>
    <row r="8" ht="15.75" spans="1:1">
      <c r="A8" s="21" t="s">
        <v>170</v>
      </c>
    </row>
    <row r="9" s="11" customFormat="1" spans="1:5">
      <c r="A9" s="22" t="s">
        <v>171</v>
      </c>
      <c r="B9" s="23" t="s">
        <v>172</v>
      </c>
      <c r="C9" s="24"/>
      <c r="D9" s="25" t="s">
        <v>173</v>
      </c>
      <c r="E9" s="26"/>
    </row>
    <row r="10" s="11" customFormat="1" ht="15.75" spans="1:5">
      <c r="A10" s="27"/>
      <c r="B10" s="28" t="s">
        <v>174</v>
      </c>
      <c r="C10" s="28" t="s">
        <v>175</v>
      </c>
      <c r="D10" s="28" t="s">
        <v>174</v>
      </c>
      <c r="E10" s="29" t="s">
        <v>175</v>
      </c>
    </row>
    <row r="11" s="11" customFormat="1" spans="1:5">
      <c r="A11" s="30" t="s">
        <v>176</v>
      </c>
      <c r="B11" s="31">
        <v>40</v>
      </c>
      <c r="C11" s="31">
        <v>39</v>
      </c>
      <c r="D11" s="31">
        <v>40</v>
      </c>
      <c r="E11" s="32">
        <v>40</v>
      </c>
    </row>
    <row r="12" s="11" customFormat="1" ht="45" spans="1:7">
      <c r="A12" s="33" t="s">
        <v>177</v>
      </c>
      <c r="B12" s="34">
        <v>40</v>
      </c>
      <c r="C12" s="34">
        <v>0</v>
      </c>
      <c r="D12" s="34">
        <v>40</v>
      </c>
      <c r="E12" s="35">
        <v>0</v>
      </c>
      <c r="G12" s="11" t="s">
        <v>178</v>
      </c>
    </row>
    <row r="13" s="11" customFormat="1" spans="1:5">
      <c r="A13" s="33" t="s">
        <v>179</v>
      </c>
      <c r="B13" s="34">
        <v>40</v>
      </c>
      <c r="C13" s="34">
        <v>39</v>
      </c>
      <c r="D13" s="34">
        <v>40</v>
      </c>
      <c r="E13" s="35">
        <v>40</v>
      </c>
    </row>
    <row r="14" s="11" customFormat="1" ht="45" spans="1:7">
      <c r="A14" s="33" t="s">
        <v>180</v>
      </c>
      <c r="B14" s="34">
        <v>40</v>
      </c>
      <c r="C14" s="34">
        <v>0</v>
      </c>
      <c r="D14" s="34">
        <v>40</v>
      </c>
      <c r="E14" s="35">
        <v>0</v>
      </c>
      <c r="G14" s="11" t="s">
        <v>178</v>
      </c>
    </row>
    <row r="15" s="11" customFormat="1" spans="1:5">
      <c r="A15" s="33" t="s">
        <v>12</v>
      </c>
      <c r="B15" s="34">
        <v>40</v>
      </c>
      <c r="C15" s="34">
        <v>0</v>
      </c>
      <c r="D15" s="34">
        <v>40</v>
      </c>
      <c r="E15" s="35">
        <v>0</v>
      </c>
    </row>
    <row r="16" s="11" customFormat="1" spans="1:5">
      <c r="A16" s="33" t="s">
        <v>13</v>
      </c>
      <c r="B16" s="34">
        <v>40</v>
      </c>
      <c r="C16" s="34">
        <v>0</v>
      </c>
      <c r="D16" s="34">
        <v>40</v>
      </c>
      <c r="E16" s="35">
        <v>0</v>
      </c>
    </row>
    <row r="17" s="11" customFormat="1" spans="1:5">
      <c r="A17" s="33" t="s">
        <v>181</v>
      </c>
      <c r="B17" s="34">
        <v>40</v>
      </c>
      <c r="C17" s="34">
        <v>40</v>
      </c>
      <c r="D17" s="34">
        <v>40</v>
      </c>
      <c r="E17" s="35">
        <v>40</v>
      </c>
    </row>
    <row r="18" s="11" customFormat="1" ht="30" spans="1:5">
      <c r="A18" s="33" t="s">
        <v>182</v>
      </c>
      <c r="B18" s="34">
        <v>40</v>
      </c>
      <c r="C18" s="34">
        <v>36</v>
      </c>
      <c r="D18" s="34">
        <v>40</v>
      </c>
      <c r="E18" s="35">
        <v>32</v>
      </c>
    </row>
    <row r="19" s="11" customFormat="1" ht="45" spans="1:7">
      <c r="A19" s="33" t="s">
        <v>183</v>
      </c>
      <c r="B19" s="34">
        <v>40</v>
      </c>
      <c r="C19" s="34">
        <v>0</v>
      </c>
      <c r="D19" s="34">
        <v>40</v>
      </c>
      <c r="E19" s="35">
        <v>0</v>
      </c>
      <c r="G19" s="11" t="s">
        <v>178</v>
      </c>
    </row>
    <row r="20" s="11" customFormat="1" ht="105.75" spans="1:7">
      <c r="A20" s="36" t="s">
        <v>184</v>
      </c>
      <c r="B20" s="37">
        <v>40</v>
      </c>
      <c r="C20" s="37">
        <v>0</v>
      </c>
      <c r="D20" s="37">
        <v>40</v>
      </c>
      <c r="E20" s="38">
        <v>0</v>
      </c>
      <c r="G20" s="11" t="s">
        <v>185</v>
      </c>
    </row>
    <row r="21" s="11" customFormat="1" spans="1:5">
      <c r="A21" s="39" t="s">
        <v>186</v>
      </c>
      <c r="C21" s="39">
        <f>SUM(B11:B20)+SUM(D11:D20)</f>
        <v>800</v>
      </c>
      <c r="D21" s="39"/>
      <c r="E21" s="39"/>
    </row>
    <row r="22" s="11" customFormat="1" spans="1:5">
      <c r="A22" s="39" t="s">
        <v>187</v>
      </c>
      <c r="C22" s="39">
        <f>SUM(C11:C20)+SUM(E11:E20)</f>
        <v>306</v>
      </c>
      <c r="D22" s="39"/>
      <c r="E22" s="39"/>
    </row>
    <row r="25" ht="60" spans="1:2">
      <c r="A25" s="12" t="s">
        <v>188</v>
      </c>
      <c r="B25" s="12" t="s">
        <v>189</v>
      </c>
    </row>
  </sheetData>
  <mergeCells count="8">
    <mergeCell ref="A2:B2"/>
    <mergeCell ref="B9:C9"/>
    <mergeCell ref="D9:E9"/>
    <mergeCell ref="A21:B21"/>
    <mergeCell ref="C21:E21"/>
    <mergeCell ref="A22:B22"/>
    <mergeCell ref="C22:E22"/>
    <mergeCell ref="A9:A1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="130" zoomScaleNormal="130" workbookViewId="0">
      <selection activeCell="D9" sqref="D9"/>
    </sheetView>
  </sheetViews>
  <sheetFormatPr defaultColWidth="9.14285714285714" defaultRowHeight="15" outlineLevelRow="5" outlineLevelCol="3"/>
  <cols>
    <col min="1" max="1" width="12.1428571428571" style="1" customWidth="1"/>
    <col min="2" max="2" width="9.23809523809524" style="1" customWidth="1"/>
    <col min="3" max="3" width="8.71428571428571" style="1" customWidth="1"/>
    <col min="4" max="4" width="12.8571428571429" style="1" customWidth="1"/>
    <col min="5" max="16384" width="9.14285714285714" style="1"/>
  </cols>
  <sheetData>
    <row r="1" spans="1:4">
      <c r="A1" s="2" t="s">
        <v>190</v>
      </c>
      <c r="B1" s="3" t="s">
        <v>16</v>
      </c>
      <c r="C1" s="3" t="s">
        <v>17</v>
      </c>
      <c r="D1" s="4" t="s">
        <v>191</v>
      </c>
    </row>
    <row r="2" spans="1:4">
      <c r="A2" s="5" t="s">
        <v>192</v>
      </c>
      <c r="B2" s="6">
        <f>Employee!M47</f>
        <v>440</v>
      </c>
      <c r="C2" s="6">
        <f>Employee!N47</f>
        <v>440</v>
      </c>
      <c r="D2" s="7">
        <f>ROUND(C2/B2*100,2)</f>
        <v>100</v>
      </c>
    </row>
    <row r="3" spans="1:4">
      <c r="A3" s="5" t="s">
        <v>193</v>
      </c>
      <c r="B3" s="6">
        <f>'Attendance Configuration'!H22</f>
        <v>76</v>
      </c>
      <c r="C3" s="6">
        <f>'Attendance Configuration'!I22</f>
        <v>61</v>
      </c>
      <c r="D3" s="7">
        <f>ROUND(C3/B3*100,2)</f>
        <v>80.26</v>
      </c>
    </row>
    <row r="4" spans="1:4">
      <c r="A4" s="5" t="s">
        <v>194</v>
      </c>
      <c r="B4" s="6">
        <f>'[1]Leave Configuration'!G1</f>
        <v>48</v>
      </c>
      <c r="C4" s="6">
        <f>'Leave Configuration'!J15</f>
        <v>44</v>
      </c>
      <c r="D4" s="7">
        <f>ROUND(C4/B4*100,2)</f>
        <v>91.67</v>
      </c>
    </row>
    <row r="5" spans="1:4">
      <c r="A5" s="5" t="s">
        <v>195</v>
      </c>
      <c r="B5" s="6">
        <f>'Payroll Configuration'!C21</f>
        <v>800</v>
      </c>
      <c r="C5" s="6">
        <f>'Payroll Configuration'!C22</f>
        <v>306</v>
      </c>
      <c r="D5" s="7">
        <f>ROUND(C5/B5*100,2)</f>
        <v>38.25</v>
      </c>
    </row>
    <row r="6" ht="15.75" spans="1:4">
      <c r="A6" s="8" t="s">
        <v>175</v>
      </c>
      <c r="B6" s="9"/>
      <c r="C6" s="9"/>
      <c r="D6" s="10">
        <f>ROUND(SUM(D2:D5)/4,2)</f>
        <v>77.55</v>
      </c>
    </row>
  </sheetData>
  <mergeCells count="1">
    <mergeCell ref="A6:C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.14285714285714" defaultRowHeight="15" outlineLevelRow="2"/>
  <sheetData>
    <row r="1" spans="1:1">
      <c r="A1" t="s">
        <v>196</v>
      </c>
    </row>
    <row r="2" spans="1:1">
      <c r="A2" t="s">
        <v>197</v>
      </c>
    </row>
    <row r="3" spans="1:1">
      <c r="A3" t="s">
        <v>198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Employee</vt:lpstr>
      <vt:lpstr>Attendance Configuration</vt:lpstr>
      <vt:lpstr>Leave Configuration</vt:lpstr>
      <vt:lpstr>Payroll Configuration</vt:lpstr>
      <vt:lpstr>Evaluation Sheet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Farid Majrun</cp:lastModifiedBy>
  <dcterms:created xsi:type="dcterms:W3CDTF">2024-08-14T13:03:00Z</dcterms:created>
  <dcterms:modified xsi:type="dcterms:W3CDTF">2026-03-19T07:44:38Z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77FDC6D624F644908A0ADF1E25758F95_13</vt:lpwstr>
  </property>
  <property fmtid="{D5CDD505-2E9C-101B-9397-08002B2CF9AE}" pid="3" name="KSOProductBuildVer">
    <vt:lpwstr>2057-12.2.0.23196</vt:lpwstr>
  </property>
</Properties>
</file>